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35" tabRatio="827" activeTab="4"/>
  </bookViews>
  <sheets>
    <sheet name="Runtimes_SPARQL1.0" sheetId="2" r:id="rId1"/>
    <sheet name="F1 Scores" sheetId="7" r:id="rId2"/>
    <sheet name="source selection" sheetId="5" r:id="rId3"/>
    <sheet name="Structural_Features" sheetId="9" r:id="rId4"/>
    <sheet name="Data Driven_Features" sheetId="10" r:id="rId5"/>
    <sheet name="index const. and size" sheetId="6" r:id="rId6"/>
    <sheet name="Runtimes_SPARQL1.1" sheetId="8" r:id="rId7"/>
    <sheet name="dataset structuredness" sheetId="11" r:id="rId8"/>
    <sheet name="Query Stats" sheetId="13" r:id="rId9"/>
    <sheet name="Spearman's corelation" sheetId="14" r:id="rId10"/>
    <sheet name="Number of Endpoints Requests" sheetId="15" r:id="rId11"/>
  </sheets>
  <calcPr calcId="152511"/>
</workbook>
</file>

<file path=xl/calcChain.xml><?xml version="1.0" encoding="utf-8"?>
<calcChain xmlns="http://schemas.openxmlformats.org/spreadsheetml/2006/main">
  <c r="AJ13" i="10" l="1"/>
  <c r="AJ14" i="10"/>
  <c r="AJ10" i="10"/>
  <c r="AJ11" i="10"/>
  <c r="AG2" i="10"/>
  <c r="AE2" i="10"/>
  <c r="AF5" i="10"/>
  <c r="T2" i="10"/>
  <c r="U2" i="10"/>
  <c r="AJ6" i="10"/>
  <c r="AJ5" i="10"/>
  <c r="AH5" i="10"/>
  <c r="AH7" i="10"/>
  <c r="AH8" i="10" s="1"/>
  <c r="AH9" i="10" s="1"/>
  <c r="AH10" i="10" s="1"/>
  <c r="AH11" i="10" s="1"/>
  <c r="AH12" i="10" s="1"/>
  <c r="AH13" i="10" s="1"/>
  <c r="AH14" i="10" s="1"/>
  <c r="AH15" i="10" s="1"/>
  <c r="AH16" i="10" s="1"/>
  <c r="AH17" i="10" s="1"/>
  <c r="AH18" i="10" s="1"/>
  <c r="AH19" i="10" s="1"/>
  <c r="AH20" i="10" s="1"/>
  <c r="AH21" i="10" s="1"/>
  <c r="AH22" i="10" s="1"/>
  <c r="AH23" i="10" s="1"/>
  <c r="AH24" i="10" s="1"/>
  <c r="AH25" i="10" s="1"/>
  <c r="AH26" i="10" s="1"/>
  <c r="AH27" i="10" s="1"/>
  <c r="AH28" i="10" s="1"/>
  <c r="AH29" i="10" s="1"/>
  <c r="AH30" i="10" s="1"/>
  <c r="AH31" i="10" s="1"/>
  <c r="AH32" i="10" s="1"/>
  <c r="AH33" i="10" s="1"/>
  <c r="AH34" i="10" s="1"/>
  <c r="AH35" i="10" s="1"/>
  <c r="AH36" i="10" s="1"/>
  <c r="AH74" i="10" l="1"/>
  <c r="AG74" i="10"/>
  <c r="AG72" i="10"/>
  <c r="AG70" i="10"/>
  <c r="AG69" i="10"/>
  <c r="AG68" i="10"/>
  <c r="AG66" i="10"/>
  <c r="AJ65" i="10"/>
  <c r="AI65" i="10"/>
  <c r="AJ55" i="10"/>
  <c r="AI55" i="10"/>
  <c r="AG54" i="10"/>
  <c r="AG53" i="10"/>
  <c r="AG48" i="10"/>
  <c r="AH73"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G43" i="10"/>
  <c r="AG44" i="10"/>
  <c r="AG45" i="10"/>
  <c r="AG46" i="10"/>
  <c r="AG47" i="10"/>
  <c r="AG49" i="10"/>
  <c r="AG50" i="10"/>
  <c r="AG51" i="10"/>
  <c r="AG52" i="10"/>
  <c r="AG55" i="10"/>
  <c r="AG56" i="10"/>
  <c r="AG57" i="10"/>
  <c r="AG58" i="10"/>
  <c r="AG59" i="10"/>
  <c r="AG60" i="10"/>
  <c r="AG61" i="10"/>
  <c r="AG62" i="10"/>
  <c r="AG63" i="10"/>
  <c r="AG64" i="10"/>
  <c r="AG65" i="10"/>
  <c r="AG67" i="10"/>
  <c r="AG71" i="10"/>
  <c r="AG73" i="10"/>
  <c r="AH42" i="10"/>
  <c r="AG42" i="10"/>
  <c r="J86" i="15" l="1"/>
  <c r="I86" i="15"/>
  <c r="I79" i="15"/>
  <c r="I82" i="15"/>
  <c r="I87" i="15"/>
  <c r="I88" i="15"/>
  <c r="W9" i="5"/>
  <c r="W10" i="5"/>
  <c r="W11" i="5"/>
  <c r="W12" i="5"/>
  <c r="W13" i="5"/>
  <c r="W14" i="5"/>
  <c r="W15" i="5"/>
  <c r="W16" i="5"/>
  <c r="W17" i="5"/>
  <c r="W18" i="5"/>
  <c r="W19" i="5"/>
  <c r="W20" i="5"/>
  <c r="W21" i="5"/>
  <c r="W23" i="5"/>
  <c r="W24" i="5"/>
  <c r="W25" i="5"/>
  <c r="W26" i="5"/>
  <c r="W27" i="5"/>
  <c r="W28" i="5"/>
  <c r="W29" i="5"/>
  <c r="W30" i="5"/>
  <c r="W31" i="5"/>
  <c r="W32" i="5"/>
  <c r="W34" i="5"/>
  <c r="W35" i="5"/>
  <c r="W36" i="5"/>
  <c r="W37" i="5"/>
  <c r="W38" i="5"/>
  <c r="W39" i="5"/>
  <c r="W40" i="5"/>
  <c r="W41" i="5"/>
  <c r="W8" i="5"/>
  <c r="V9" i="5"/>
  <c r="V10" i="5"/>
  <c r="V11" i="5"/>
  <c r="V12" i="5"/>
  <c r="V13" i="5"/>
  <c r="V14" i="5"/>
  <c r="V15" i="5"/>
  <c r="V16" i="5"/>
  <c r="V17" i="5"/>
  <c r="V18" i="5"/>
  <c r="V19" i="5"/>
  <c r="V20" i="5"/>
  <c r="V21" i="5"/>
  <c r="V23" i="5"/>
  <c r="V24" i="5"/>
  <c r="V25" i="5"/>
  <c r="V26" i="5"/>
  <c r="V27" i="5"/>
  <c r="V28" i="5"/>
  <c r="V29" i="5"/>
  <c r="V30" i="5"/>
  <c r="V31" i="5"/>
  <c r="V32" i="5"/>
  <c r="V34" i="5"/>
  <c r="V35" i="5"/>
  <c r="V36" i="5"/>
  <c r="V37" i="5"/>
  <c r="V38" i="5"/>
  <c r="V39" i="5"/>
  <c r="V40" i="5"/>
  <c r="V41" i="5"/>
  <c r="V8" i="5"/>
  <c r="J55" i="15"/>
  <c r="J56" i="15"/>
  <c r="J57" i="15"/>
  <c r="J58" i="15"/>
  <c r="J59" i="15"/>
  <c r="J60" i="15"/>
  <c r="J61" i="15"/>
  <c r="J62" i="15"/>
  <c r="J63" i="15"/>
  <c r="J64" i="15"/>
  <c r="J65" i="15"/>
  <c r="J66" i="15"/>
  <c r="J67" i="15"/>
  <c r="J69" i="15"/>
  <c r="J70" i="15"/>
  <c r="J71" i="15"/>
  <c r="J74" i="15"/>
  <c r="J75" i="15"/>
  <c r="J76" i="15"/>
  <c r="J78" i="15"/>
  <c r="J82" i="15"/>
  <c r="J54" i="15"/>
  <c r="I55" i="15"/>
  <c r="I56" i="15"/>
  <c r="I57" i="15"/>
  <c r="I58" i="15"/>
  <c r="I59" i="15"/>
  <c r="I60" i="15"/>
  <c r="I61" i="15"/>
  <c r="I62" i="15"/>
  <c r="I63" i="15"/>
  <c r="I64" i="15"/>
  <c r="I65" i="15"/>
  <c r="I66" i="15"/>
  <c r="I67" i="15"/>
  <c r="I69" i="15"/>
  <c r="I70" i="15"/>
  <c r="I71" i="15"/>
  <c r="I72" i="15"/>
  <c r="I74" i="15"/>
  <c r="I75" i="15"/>
  <c r="I76" i="15"/>
  <c r="I78" i="15"/>
  <c r="I54" i="15"/>
  <c r="I4" i="15"/>
  <c r="W42" i="10"/>
  <c r="W43" i="10"/>
  <c r="W44" i="10"/>
  <c r="W45" i="10"/>
  <c r="W46" i="10"/>
  <c r="W47" i="10"/>
  <c r="W48" i="10"/>
  <c r="W50" i="10"/>
  <c r="W51" i="10"/>
  <c r="W52" i="10"/>
  <c r="W53" i="10"/>
  <c r="W54" i="10"/>
  <c r="W55" i="10"/>
  <c r="W56" i="10"/>
  <c r="W57" i="10"/>
  <c r="W58" i="10"/>
  <c r="W59" i="10"/>
  <c r="W60" i="10"/>
  <c r="W61" i="10"/>
  <c r="W62" i="10"/>
  <c r="W63" i="10"/>
  <c r="W64" i="10"/>
  <c r="W65" i="10"/>
  <c r="W66" i="10"/>
  <c r="W67" i="10"/>
  <c r="W68" i="10"/>
  <c r="W69" i="10"/>
  <c r="W70" i="10"/>
  <c r="W71" i="10"/>
  <c r="W72" i="10"/>
  <c r="W73" i="10"/>
  <c r="U42" i="10"/>
  <c r="U43" i="10"/>
  <c r="U44" i="10"/>
  <c r="U45" i="10"/>
  <c r="U46" i="10"/>
  <c r="U47" i="10"/>
  <c r="U48" i="10"/>
  <c r="U50" i="10"/>
  <c r="U51" i="10"/>
  <c r="U52" i="10"/>
  <c r="U53" i="10"/>
  <c r="U54" i="10"/>
  <c r="U55" i="10"/>
  <c r="C51" i="10"/>
  <c r="C49" i="10"/>
  <c r="M64" i="10"/>
  <c r="R74" i="10"/>
  <c r="T74" i="10"/>
  <c r="V74" i="10"/>
  <c r="Q43" i="10"/>
  <c r="Q44" i="10"/>
  <c r="Q45" i="10"/>
  <c r="Q46" i="10"/>
  <c r="Q47" i="10"/>
  <c r="Q48" i="10"/>
  <c r="Q49" i="10"/>
  <c r="Q50" i="10"/>
  <c r="Q51" i="10"/>
  <c r="Q52" i="10"/>
  <c r="Q53" i="10"/>
  <c r="Q54" i="10"/>
  <c r="Q55" i="10"/>
  <c r="Q42" i="10"/>
  <c r="P74" i="10"/>
  <c r="U74" i="10" l="1"/>
  <c r="Q74" i="10"/>
  <c r="P9" i="7"/>
  <c r="P10" i="7"/>
  <c r="G10" i="7"/>
  <c r="G9" i="7"/>
  <c r="H9" i="7" s="1"/>
  <c r="N9" i="7"/>
  <c r="N10" i="7"/>
  <c r="N11" i="7"/>
  <c r="Q9" i="7"/>
  <c r="Q10" i="7"/>
  <c r="Q14" i="7"/>
  <c r="T8" i="7"/>
  <c r="T9" i="7"/>
  <c r="T10" i="7"/>
  <c r="T11" i="7"/>
  <c r="T12" i="7"/>
  <c r="T13" i="7"/>
  <c r="T7" i="7"/>
  <c r="Q8" i="7"/>
  <c r="N8" i="7"/>
  <c r="H10" i="7"/>
  <c r="K8" i="7"/>
  <c r="K9" i="7"/>
  <c r="K10" i="7"/>
  <c r="K11" i="7"/>
  <c r="H8" i="7"/>
  <c r="K7" i="7"/>
  <c r="C47" i="2"/>
  <c r="C41" i="2"/>
  <c r="C42" i="2"/>
  <c r="C43" i="2"/>
  <c r="C44" i="2"/>
  <c r="C45" i="2"/>
  <c r="C40" i="2"/>
  <c r="K31" i="15"/>
  <c r="K32" i="15"/>
  <c r="K33" i="15"/>
  <c r="K34" i="15"/>
  <c r="K35" i="15"/>
  <c r="K36" i="15"/>
  <c r="K37" i="15"/>
  <c r="K30" i="15"/>
  <c r="J23" i="15"/>
  <c r="D89" i="15"/>
  <c r="E89" i="15"/>
  <c r="F89" i="15"/>
  <c r="G89" i="15"/>
  <c r="C89" i="15"/>
  <c r="D88" i="15"/>
  <c r="E88" i="15"/>
  <c r="F88" i="15"/>
  <c r="G88" i="15"/>
  <c r="C88" i="15"/>
  <c r="G79" i="15"/>
  <c r="F79" i="15"/>
  <c r="E79" i="15"/>
  <c r="D79" i="15"/>
  <c r="C79" i="15"/>
  <c r="G68" i="15"/>
  <c r="F68" i="15"/>
  <c r="E68" i="15"/>
  <c r="D68" i="15"/>
  <c r="C68" i="15"/>
  <c r="L17" i="15" l="1"/>
  <c r="J51" i="2"/>
  <c r="M13" i="6" l="1"/>
  <c r="L13" i="6"/>
  <c r="K13" i="6"/>
  <c r="J13" i="6"/>
  <c r="I13" i="6"/>
  <c r="H13" i="6"/>
  <c r="G13" i="6"/>
  <c r="D9" i="11" l="1"/>
  <c r="D10" i="11"/>
  <c r="D11" i="11"/>
  <c r="D12" i="11" s="1"/>
  <c r="D13" i="11" s="1"/>
  <c r="D14" i="11" s="1"/>
  <c r="D15" i="11" s="1"/>
  <c r="D8" i="11"/>
  <c r="C20" i="11"/>
  <c r="F10" i="11"/>
  <c r="F11" i="11" s="1"/>
  <c r="F12" i="11" s="1"/>
  <c r="F13" i="11" s="1"/>
  <c r="F14" i="11" s="1"/>
  <c r="F15" i="11" s="1"/>
  <c r="F16" i="11" s="1"/>
  <c r="F17" i="11" s="1"/>
  <c r="F18" i="11" s="1"/>
  <c r="F19" i="11" s="1"/>
  <c r="F9" i="11"/>
  <c r="F8" i="11"/>
  <c r="J39" i="13"/>
  <c r="K39" i="13"/>
  <c r="L39" i="13"/>
  <c r="M39" i="13"/>
  <c r="N39" i="13"/>
  <c r="I39" i="13"/>
  <c r="J30" i="13"/>
  <c r="K30" i="13"/>
  <c r="L30" i="13"/>
  <c r="M30" i="13"/>
  <c r="N30" i="13"/>
  <c r="I30" i="13"/>
  <c r="J19" i="13"/>
  <c r="K19" i="13"/>
  <c r="L19" i="13"/>
  <c r="M19" i="13"/>
  <c r="N19" i="13"/>
  <c r="I19" i="13"/>
  <c r="L60" i="9" l="1"/>
  <c r="M60" i="9"/>
  <c r="N60" i="9"/>
  <c r="O60" i="9"/>
  <c r="P60" i="9"/>
  <c r="Q60" i="9"/>
  <c r="K60" i="9"/>
  <c r="Z74" i="10" l="1"/>
  <c r="Y74" i="10"/>
  <c r="AB38" i="10"/>
  <c r="AA38" i="10"/>
  <c r="Z38" i="10"/>
  <c r="Y38" i="10"/>
  <c r="E20" i="11"/>
  <c r="F7" i="11"/>
  <c r="L61" i="9" l="1"/>
  <c r="M61" i="9"/>
  <c r="N61" i="9"/>
  <c r="O61" i="9"/>
  <c r="P61" i="9"/>
  <c r="Q61" i="9"/>
  <c r="K61" i="9"/>
  <c r="V7" i="10" l="1"/>
  <c r="V8" i="10" s="1"/>
  <c r="V9" i="10" s="1"/>
  <c r="V10" i="10" s="1"/>
  <c r="V11" i="10" s="1"/>
  <c r="V12" i="10" s="1"/>
  <c r="V13" i="10" s="1"/>
  <c r="V14" i="10" s="1"/>
  <c r="V15" i="10" s="1"/>
  <c r="V16" i="10" s="1"/>
  <c r="V17" i="10" s="1"/>
  <c r="V18" i="10" s="1"/>
  <c r="V19" i="10" s="1"/>
  <c r="V20" i="10" s="1"/>
  <c r="V21" i="10" s="1"/>
  <c r="V22" i="10" s="1"/>
  <c r="V23" i="10" s="1"/>
  <c r="V24" i="10" s="1"/>
  <c r="V25" i="10" s="1"/>
  <c r="V26" i="10" s="1"/>
  <c r="V27" i="10" s="1"/>
  <c r="V28" i="10" s="1"/>
  <c r="V29" i="10" s="1"/>
  <c r="V30" i="10" s="1"/>
  <c r="V31" i="10" s="1"/>
  <c r="V32" i="10" s="1"/>
  <c r="V33" i="10" s="1"/>
  <c r="V34" i="10" s="1"/>
  <c r="V35" i="10" s="1"/>
  <c r="V36" i="10" s="1"/>
  <c r="V5" i="10"/>
  <c r="T5" i="10"/>
  <c r="G49" i="9" l="1"/>
  <c r="H49" i="9"/>
  <c r="I49" i="9"/>
  <c r="F49" i="9"/>
  <c r="G48" i="9"/>
  <c r="H48" i="9"/>
  <c r="I48" i="9"/>
  <c r="F48" i="9"/>
  <c r="P5" i="10"/>
  <c r="N5" i="10"/>
  <c r="P7" i="10"/>
  <c r="P8" i="10" s="1"/>
  <c r="P9" i="10" s="1"/>
  <c r="P10" i="10" s="1"/>
  <c r="P11" i="10" s="1"/>
  <c r="P12" i="10" s="1"/>
  <c r="P13" i="10" s="1"/>
  <c r="P14" i="10" s="1"/>
  <c r="P15" i="10" s="1"/>
  <c r="P16" i="10" s="1"/>
  <c r="P17" i="10" s="1"/>
  <c r="P18" i="10" s="1"/>
  <c r="P19" i="10" s="1"/>
  <c r="P20" i="10" s="1"/>
  <c r="P21" i="10" s="1"/>
  <c r="P22" i="10" s="1"/>
  <c r="P23" i="10" s="1"/>
  <c r="P24" i="10" s="1"/>
  <c r="P25" i="10" s="1"/>
  <c r="P26" i="10" s="1"/>
  <c r="P27" i="10" s="1"/>
  <c r="P28" i="10" s="1"/>
  <c r="P29" i="10" s="1"/>
  <c r="P30" i="10" s="1"/>
  <c r="P31" i="10" s="1"/>
  <c r="P32" i="10" s="1"/>
  <c r="P33" i="10" s="1"/>
  <c r="P34" i="10" s="1"/>
  <c r="P35" i="10" s="1"/>
  <c r="P36" i="10" s="1"/>
  <c r="J38" i="10"/>
  <c r="I38" i="10"/>
  <c r="H38" i="10"/>
  <c r="G38" i="10"/>
  <c r="F38" i="10"/>
  <c r="E38" i="10"/>
  <c r="D38" i="10"/>
  <c r="C38" i="10"/>
  <c r="J37" i="10"/>
  <c r="I37" i="10"/>
  <c r="H37" i="10"/>
  <c r="G37" i="10"/>
  <c r="F37" i="10"/>
  <c r="E37" i="10"/>
  <c r="D37" i="10"/>
  <c r="C37" i="10"/>
  <c r="AJ5" i="9"/>
  <c r="AD5" i="9"/>
  <c r="AD7" i="9"/>
  <c r="AD8" i="9" s="1"/>
  <c r="AD9" i="9" s="1"/>
  <c r="AD10" i="9" s="1"/>
  <c r="AD11" i="9" s="1"/>
  <c r="AD12" i="9" s="1"/>
  <c r="AD13" i="9" s="1"/>
  <c r="AD14" i="9" s="1"/>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H5" i="9"/>
  <c r="X5" i="9"/>
  <c r="V5" i="9"/>
  <c r="R8" i="9"/>
  <c r="R9" i="9" s="1"/>
  <c r="R10" i="9" s="1"/>
  <c r="R11" i="9" s="1"/>
  <c r="R12" i="9" s="1"/>
  <c r="R13" i="9" s="1"/>
  <c r="R14" i="9" s="1"/>
  <c r="R15" i="9" s="1"/>
  <c r="R16" i="9" s="1"/>
  <c r="R17" i="9" s="1"/>
  <c r="R18" i="9" s="1"/>
  <c r="R19" i="9" s="1"/>
  <c r="R20" i="9" s="1"/>
  <c r="R21" i="9" s="1"/>
  <c r="R22" i="9" s="1"/>
  <c r="R23" i="9" s="1"/>
  <c r="R24" i="9" s="1"/>
  <c r="R25" i="9" s="1"/>
  <c r="R26" i="9" s="1"/>
  <c r="R27" i="9" s="1"/>
  <c r="R28" i="9" s="1"/>
  <c r="R29" i="9" s="1"/>
  <c r="R30" i="9" s="1"/>
  <c r="R31" i="9" s="1"/>
  <c r="R32" i="9" s="1"/>
  <c r="R33" i="9" s="1"/>
  <c r="R34" i="9" s="1"/>
  <c r="R35" i="9" s="1"/>
  <c r="R36" i="9" s="1"/>
  <c r="R7" i="9"/>
  <c r="R5" i="9"/>
  <c r="P5" i="9"/>
  <c r="AB5" i="9" l="1"/>
  <c r="J38" i="9"/>
  <c r="K38" i="9"/>
  <c r="I38" i="9"/>
  <c r="F38" i="9"/>
  <c r="G38" i="9"/>
  <c r="E38" i="9"/>
  <c r="J37" i="9"/>
  <c r="K37" i="9"/>
  <c r="I37" i="9"/>
  <c r="F37" i="9"/>
  <c r="G37" i="9"/>
  <c r="E37" i="9"/>
  <c r="L38" i="9"/>
  <c r="H38" i="9"/>
  <c r="L37" i="9"/>
  <c r="H37" i="9"/>
  <c r="N43" i="5" l="1"/>
  <c r="H22" i="8" l="1"/>
  <c r="J5" i="2"/>
  <c r="J6" i="2"/>
  <c r="J7" i="2"/>
  <c r="J8" i="2"/>
  <c r="J9" i="2"/>
  <c r="J10" i="2"/>
  <c r="J11" i="2"/>
  <c r="J12" i="2"/>
  <c r="J13" i="2"/>
  <c r="J14" i="2"/>
  <c r="J15" i="2"/>
  <c r="J16" i="2"/>
  <c r="J17" i="2"/>
  <c r="J4" i="2"/>
  <c r="U6" i="8"/>
  <c r="U7" i="8"/>
  <c r="U8" i="8"/>
  <c r="U9" i="8"/>
  <c r="U10" i="8"/>
  <c r="U11" i="8"/>
  <c r="U12" i="8"/>
  <c r="U13" i="8"/>
  <c r="U14" i="8"/>
  <c r="U15" i="8"/>
  <c r="U16" i="8"/>
  <c r="U17" i="8"/>
  <c r="U18" i="8"/>
  <c r="U5" i="8"/>
  <c r="E31" i="2" l="1"/>
  <c r="H33" i="8" s="1"/>
  <c r="C30" i="8"/>
  <c r="H34" i="8" l="1"/>
  <c r="B30" i="8"/>
  <c r="C18" i="8"/>
  <c r="B18" i="8"/>
  <c r="T42" i="5" l="1"/>
  <c r="T33" i="5"/>
  <c r="T22" i="5"/>
  <c r="T43" i="5" s="1"/>
  <c r="M6" i="6" l="1"/>
  <c r="K6" i="6"/>
  <c r="J6" i="6"/>
  <c r="I6" i="6"/>
  <c r="H6" i="6"/>
  <c r="G6" i="6"/>
  <c r="S43" i="5"/>
  <c r="R43" i="5"/>
  <c r="Q43" i="5"/>
  <c r="P43" i="5"/>
  <c r="O43" i="5"/>
  <c r="M43" i="5"/>
  <c r="L43" i="5"/>
  <c r="K43" i="5"/>
  <c r="J43" i="5"/>
  <c r="I43" i="5"/>
  <c r="H43" i="5"/>
  <c r="G43" i="5"/>
  <c r="F43" i="5"/>
  <c r="S42" i="5"/>
  <c r="R42" i="5"/>
  <c r="Q42" i="5"/>
  <c r="P42" i="5"/>
  <c r="O42" i="5"/>
  <c r="N42" i="5"/>
  <c r="M42" i="5"/>
  <c r="L42" i="5"/>
  <c r="K42" i="5"/>
  <c r="J42" i="5"/>
  <c r="I42" i="5"/>
  <c r="H42" i="5"/>
  <c r="G42" i="5"/>
  <c r="F42" i="5"/>
  <c r="S33" i="5"/>
  <c r="R33" i="5"/>
  <c r="P33" i="5"/>
  <c r="O33" i="5"/>
  <c r="N33" i="5"/>
  <c r="M33" i="5"/>
  <c r="L33" i="5"/>
  <c r="K33" i="5"/>
  <c r="J33" i="5"/>
  <c r="I33" i="5"/>
  <c r="H33" i="5"/>
  <c r="G33" i="5"/>
  <c r="F33" i="5"/>
  <c r="S22" i="5"/>
  <c r="R22" i="5"/>
  <c r="Q22" i="5"/>
  <c r="P22" i="5"/>
  <c r="O22" i="5"/>
  <c r="N22" i="5"/>
  <c r="M22" i="5"/>
  <c r="L22" i="5"/>
  <c r="K22" i="5"/>
  <c r="J22" i="5"/>
  <c r="I22" i="5"/>
  <c r="H22" i="5"/>
  <c r="G22" i="5"/>
  <c r="F22" i="5"/>
  <c r="B31" i="2" l="1"/>
  <c r="C31" i="2"/>
  <c r="G37" i="8" s="1"/>
  <c r="G38" i="8" s="1"/>
  <c r="F31" i="2"/>
  <c r="G31" i="2"/>
  <c r="D31" i="2"/>
  <c r="E18" i="2"/>
  <c r="G33" i="8" s="1"/>
  <c r="G34" i="8" s="1"/>
  <c r="G18" i="2"/>
  <c r="F18" i="2"/>
  <c r="D18" i="2"/>
  <c r="C18" i="2"/>
  <c r="H37" i="8" s="1"/>
  <c r="H38" i="8" s="1"/>
  <c r="B18" i="2"/>
  <c r="D7" i="11"/>
</calcChain>
</file>

<file path=xl/sharedStrings.xml><?xml version="1.0" encoding="utf-8"?>
<sst xmlns="http://schemas.openxmlformats.org/spreadsheetml/2006/main" count="1522" uniqueCount="289">
  <si>
    <t>FedX</t>
  </si>
  <si>
    <t>Query</t>
  </si>
  <si>
    <t>Total Query Execution Time (msec)</t>
  </si>
  <si>
    <t>SPLENDID</t>
  </si>
  <si>
    <t>S1</t>
  </si>
  <si>
    <t>S2</t>
  </si>
  <si>
    <t>S3</t>
  </si>
  <si>
    <t>S4</t>
  </si>
  <si>
    <t>S5</t>
  </si>
  <si>
    <t>S6</t>
  </si>
  <si>
    <t>S7</t>
  </si>
  <si>
    <t>S8</t>
  </si>
  <si>
    <t>S9</t>
  </si>
  <si>
    <t>S10</t>
  </si>
  <si>
    <t>S11</t>
  </si>
  <si>
    <t>S12</t>
  </si>
  <si>
    <t>S13</t>
  </si>
  <si>
    <t>S14</t>
  </si>
  <si>
    <t>FedX(cold)</t>
  </si>
  <si>
    <t>FedX(100% cached)</t>
  </si>
  <si>
    <t>ANAPSID</t>
  </si>
  <si>
    <t>FedX+HiBISCuS</t>
  </si>
  <si>
    <t>SPLENDID+HiBISCuS</t>
  </si>
  <si>
    <t>C1</t>
  </si>
  <si>
    <t>C2</t>
  </si>
  <si>
    <t>C3</t>
  </si>
  <si>
    <t>C4</t>
  </si>
  <si>
    <t>C5</t>
  </si>
  <si>
    <t>C6</t>
  </si>
  <si>
    <t>C7</t>
  </si>
  <si>
    <t>C8</t>
  </si>
  <si>
    <t>C9</t>
  </si>
  <si>
    <t>C10</t>
  </si>
  <si>
    <t>RE</t>
  </si>
  <si>
    <t>TO</t>
  </si>
  <si>
    <t>RE = Runtime Error</t>
  </si>
  <si>
    <t>TO = Time out of 20 min</t>
  </si>
  <si>
    <t>NS = Not Supported</t>
  </si>
  <si>
    <t xml:space="preserve">Note: 20 min was added while calculating averages for each time out. </t>
  </si>
  <si>
    <t>B1</t>
  </si>
  <si>
    <t>B2</t>
  </si>
  <si>
    <t>B3</t>
  </si>
  <si>
    <t>B4</t>
  </si>
  <si>
    <t>B5</t>
  </si>
  <si>
    <t>B6</t>
  </si>
  <si>
    <t>B7</t>
  </si>
  <si>
    <t>B8</t>
  </si>
  <si>
    <t>ZR</t>
  </si>
  <si>
    <t xml:space="preserve">no need to plot. </t>
  </si>
  <si>
    <t>Comparision of the source selection of different SPARQL federation engines in terms of :  Total number of triple pattern-wise sources selected #TP</t>
  </si>
  <si>
    <t>Total SPARQL ASK request #AR, Source selection time (cold , i.e, without cache) SSTC, Source selection time (warm, i.e., with cache) SSTW</t>
  </si>
  <si>
    <t xml:space="preserve">FedX </t>
  </si>
  <si>
    <t>HiBISCus</t>
  </si>
  <si>
    <t>#TP</t>
  </si>
  <si>
    <t>#AR</t>
  </si>
  <si>
    <t>SSTC</t>
  </si>
  <si>
    <t xml:space="preserve"> SSTW</t>
  </si>
  <si>
    <t>SST</t>
  </si>
  <si>
    <t>Total/Avg</t>
  </si>
  <si>
    <t>Net Total/Avg</t>
  </si>
  <si>
    <t>in</t>
  </si>
  <si>
    <t>LHD</t>
  </si>
  <si>
    <t>DARQ</t>
  </si>
  <si>
    <t>ADERIS</t>
  </si>
  <si>
    <t>Qtree</t>
  </si>
  <si>
    <t>FedSum</t>
  </si>
  <si>
    <t>Index Generation Time (min)</t>
  </si>
  <si>
    <t>NA</t>
  </si>
  <si>
    <t>-</t>
  </si>
  <si>
    <t>Compression Ratio</t>
  </si>
  <si>
    <t>Index Size (KB)</t>
  </si>
  <si>
    <t>From Qtree paper</t>
  </si>
  <si>
    <t>In KB</t>
  </si>
  <si>
    <t>46 GB</t>
  </si>
  <si>
    <t>BigBench Size</t>
  </si>
  <si>
    <t>Recall</t>
  </si>
  <si>
    <t>Precision</t>
  </si>
  <si>
    <t>F1</t>
  </si>
  <si>
    <t>Optimal</t>
  </si>
  <si>
    <t>s14 = 1054</t>
  </si>
  <si>
    <t>CHECK</t>
  </si>
  <si>
    <t>C6=145</t>
  </si>
  <si>
    <t>s6 and s7 query plan</t>
  </si>
  <si>
    <t>15964 results retrieved by FedX in one hour</t>
  </si>
  <si>
    <t>S14 (v1.1)</t>
  </si>
  <si>
    <t>C6 (v1.1)</t>
  </si>
  <si>
    <t>Mean Join Vertex Degree</t>
  </si>
  <si>
    <t>Std.  Dev</t>
  </si>
  <si>
    <t>Variance</t>
  </si>
  <si>
    <t>#Join Vertices</t>
  </si>
  <si>
    <t># Vertices</t>
  </si>
  <si>
    <t>FedBench</t>
  </si>
  <si>
    <t>#Vertices</t>
  </si>
  <si>
    <t>FedBench-Mean</t>
  </si>
  <si>
    <t>#Mean Join Vertices Degree</t>
  </si>
  <si>
    <t>#Results</t>
  </si>
  <si>
    <t>Star</t>
  </si>
  <si>
    <t>Path</t>
  </si>
  <si>
    <t>Hybrid</t>
  </si>
  <si>
    <t>Sink</t>
  </si>
  <si>
    <t>Fedbench</t>
  </si>
  <si>
    <t>#Scources Span</t>
  </si>
  <si>
    <t>% Distribution with respect to SPARQL clauses</t>
  </si>
  <si>
    <t>LIMIT</t>
  </si>
  <si>
    <t>OPTIONAL</t>
  </si>
  <si>
    <t>ORDER BY</t>
  </si>
  <si>
    <t xml:space="preserve">DISTINCT </t>
  </si>
  <si>
    <t>UNION</t>
  </si>
  <si>
    <t>REGEX</t>
  </si>
  <si>
    <t>FILTER</t>
  </si>
  <si>
    <t>ChEBI</t>
  </si>
  <si>
    <t>Jamendo</t>
  </si>
  <si>
    <t>KEGG</t>
  </si>
  <si>
    <t>Affymetrix</t>
  </si>
  <si>
    <t>Dataset</t>
  </si>
  <si>
    <t>Dataset Structuredness</t>
  </si>
  <si>
    <t xml:space="preserve">  </t>
  </si>
  <si>
    <t>DrugBank</t>
  </si>
  <si>
    <t>Std. Deviation</t>
  </si>
  <si>
    <t>DBPedia</t>
  </si>
  <si>
    <t>LTCGA-M</t>
  </si>
  <si>
    <t>LTCGA-E</t>
  </si>
  <si>
    <t>LTCGA-A</t>
  </si>
  <si>
    <t xml:space="preserve">Datasets based Mean Filtered Triple Pattern Selectivity </t>
  </si>
  <si>
    <t>Mean</t>
  </si>
  <si>
    <t>B.S.D</t>
  </si>
  <si>
    <t>F.S.D</t>
  </si>
  <si>
    <t>mean std</t>
  </si>
  <si>
    <t>mean Triple pattern selectivity</t>
  </si>
  <si>
    <t>Mean TP selectivities Standard deviations</t>
  </si>
  <si>
    <t>Queries Distribution with respect to join vertex type</t>
  </si>
  <si>
    <t>% Queries Distribution with respect to join vertex type</t>
  </si>
  <si>
    <t>SW Dog Food</t>
  </si>
  <si>
    <t>Geo Names</t>
  </si>
  <si>
    <t>Linked Movies</t>
  </si>
  <si>
    <t>NY Times</t>
  </si>
  <si>
    <t>Avg.</t>
  </si>
  <si>
    <t>L1</t>
  </si>
  <si>
    <t>L2</t>
  </si>
  <si>
    <t>L3</t>
  </si>
  <si>
    <t>L4</t>
  </si>
  <si>
    <t>L5</t>
  </si>
  <si>
    <t>L6</t>
  </si>
  <si>
    <t>L7</t>
  </si>
  <si>
    <t>L8</t>
  </si>
  <si>
    <t>LargeRDFBench</t>
  </si>
  <si>
    <t>LargeRDFBench-Mean</t>
  </si>
  <si>
    <t>Distribution with respect to SPARQL clauses. FedBench total SPARQL endpoint federation queries 14 , LargeRDFBench 32</t>
  </si>
  <si>
    <t>Structure</t>
  </si>
  <si>
    <t>#Triple Patterns</t>
  </si>
  <si>
    <t>#Sources Span</t>
  </si>
  <si>
    <t>Mean Triple Pattern Selectivity</t>
  </si>
  <si>
    <t>Used SPARQL Clauses</t>
  </si>
  <si>
    <t>X</t>
  </si>
  <si>
    <t>DISTINCT, FILTER, OPTIONAL, LIMIT</t>
  </si>
  <si>
    <t>OPTIONAL, FILTER</t>
  </si>
  <si>
    <t>DISTINCT, OPTIONAL</t>
  </si>
  <si>
    <t>DISTINCT, OPTIONAL, LIMIT</t>
  </si>
  <si>
    <t>FILTER, LIMIT</t>
  </si>
  <si>
    <t>OPTIONAL, ORDER BY, LIMIT</t>
  </si>
  <si>
    <t>DISTINCT</t>
  </si>
  <si>
    <t>DISTINCT, FILTER</t>
  </si>
  <si>
    <t>FILTER, ORDER BY</t>
  </si>
  <si>
    <t>UNION, FILTER, REGEX</t>
  </si>
  <si>
    <t>FILTER, DISTINCT</t>
  </si>
  <si>
    <t>UNION, FILTER</t>
  </si>
  <si>
    <t>FedX(Warm)</t>
  </si>
  <si>
    <t>Mean TP Selectivity</t>
  </si>
  <si>
    <t>0.654347826086957*</t>
  </si>
  <si>
    <t>0.275***</t>
  </si>
  <si>
    <t>* Results are significant at 1% level, ** Results are significant at 5% level, ***Results are significant at 10% level</t>
  </si>
  <si>
    <t>0.582608695652174*</t>
  </si>
  <si>
    <t>0.499505928853755*</t>
  </si>
  <si>
    <t>0.536561264822134*</t>
  </si>
  <si>
    <t>0.553112648221344*</t>
  </si>
  <si>
    <t>0.288661067193676***</t>
  </si>
  <si>
    <t>0.304347826086957***</t>
  </si>
  <si>
    <t>0.452608695652174**</t>
  </si>
  <si>
    <t>0.620553359683794*</t>
  </si>
  <si>
    <t>0.534090909090909*</t>
  </si>
  <si>
    <t>0.301259881422925***</t>
  </si>
  <si>
    <t>0.381705251270469**</t>
  </si>
  <si>
    <t>0.492094861660079*</t>
  </si>
  <si>
    <t>0.29001976284585***</t>
  </si>
  <si>
    <t>0.47554347826087**</t>
  </si>
  <si>
    <t>0.283720355731225***</t>
  </si>
  <si>
    <t>Total</t>
  </si>
  <si>
    <t>Net Total</t>
  </si>
  <si>
    <t>389 (3967)</t>
  </si>
  <si>
    <t>38 (206859)</t>
  </si>
  <si>
    <t>0 (1)</t>
  </si>
  <si>
    <t>16347 (2320)</t>
  </si>
  <si>
    <t>Running on  512 GB RAM server with  -xmx 128G</t>
  </si>
  <si>
    <t>192032 (15721), 62595</t>
  </si>
  <si>
    <t>0 (3414400) 6127090</t>
  </si>
  <si>
    <t>257158,2734572 , 4877696</t>
  </si>
  <si>
    <t>0,16321,7535531</t>
  </si>
  <si>
    <t>RE, 28342</t>
  </si>
  <si>
    <t>RE, 61810</t>
  </si>
  <si>
    <t>0 (3830809)</t>
  </si>
  <si>
    <t>6206(16) 123735</t>
  </si>
  <si>
    <t>2760,80 , 45473</t>
  </si>
  <si>
    <t>257158,2734972 , 4877696</t>
  </si>
  <si>
    <t>0,16220,7535531</t>
  </si>
  <si>
    <t>RE, 28212</t>
  </si>
  <si>
    <t>155 (2423783), To</t>
  </si>
  <si>
    <t>RE, 61419</t>
  </si>
  <si>
    <t>35810(1947)19672</t>
  </si>
  <si>
    <t>0,1609,TO</t>
  </si>
  <si>
    <t>0,5553,TO</t>
  </si>
  <si>
    <t>0, 11290, 8775598</t>
  </si>
  <si>
    <t>0,3840,TO</t>
  </si>
  <si>
    <t>156 , 17302</t>
  </si>
  <si>
    <t>0,1707</t>
  </si>
  <si>
    <t>19450 (ZRT)</t>
  </si>
  <si>
    <t>311578 (2.2%)</t>
  </si>
  <si>
    <t>2487 (ZRT)</t>
  </si>
  <si>
    <t>1350 (ZRT)</t>
  </si>
  <si>
    <t>3568 (ZRT)</t>
  </si>
  <si>
    <t>183 (ZRT)</t>
  </si>
  <si>
    <t>2320 (7.2 %)</t>
  </si>
  <si>
    <t>3967 (0.08 %)</t>
  </si>
  <si>
    <t>3830809 (ZRT)</t>
  </si>
  <si>
    <t>206859 (0.01 %)</t>
  </si>
  <si>
    <t>16 (2.73 %)</t>
  </si>
  <si>
    <t>80 (1.8  %)</t>
  </si>
  <si>
    <t>2423783 (0.05 %)</t>
  </si>
  <si>
    <t>1947 (15.76 %)</t>
  </si>
  <si>
    <t>1609 (ZRT)</t>
  </si>
  <si>
    <t>1 (0 %)</t>
  </si>
  <si>
    <t>5553 (ZRT)</t>
  </si>
  <si>
    <t>3840 (ZRT)</t>
  </si>
  <si>
    <t>1707 (ZRT)</t>
  </si>
  <si>
    <t>17302  (0.05 %)</t>
  </si>
  <si>
    <t>11290 (0 %)</t>
  </si>
  <si>
    <t>16321 (0 %)</t>
  </si>
  <si>
    <t>15721 (48.34 %)</t>
  </si>
  <si>
    <t>3414400 (0 %)</t>
  </si>
  <si>
    <t>80 (1.80 %)</t>
  </si>
  <si>
    <t>16220 (0 %)</t>
  </si>
  <si>
    <t>266 (ZRE)</t>
  </si>
  <si>
    <t>78 (ZRE)</t>
  </si>
  <si>
    <t>5392 (ZRE)</t>
  </si>
  <si>
    <t>0 (ZRE)</t>
  </si>
  <si>
    <t>37211 (ZRE)</t>
  </si>
  <si>
    <t>28212 (ZRE)</t>
  </si>
  <si>
    <t>61419 (ZRE)</t>
  </si>
  <si>
    <t>28342 (ZRE)</t>
  </si>
  <si>
    <t>61810 (ZRE)</t>
  </si>
  <si>
    <t>TO  (7.2 %)</t>
  </si>
  <si>
    <t>TO (0.08 %)</t>
  </si>
  <si>
    <t>TO (0 %)</t>
  </si>
  <si>
    <t>TO (0.01 %)</t>
  </si>
  <si>
    <t>123735 (2.73 %)</t>
  </si>
  <si>
    <t>45473 (1.8  %)</t>
  </si>
  <si>
    <t>7535531 (0%)</t>
  </si>
  <si>
    <t>35 (0 %)</t>
  </si>
  <si>
    <t>27 (0 %)</t>
  </si>
  <si>
    <t>340 (0 %)</t>
  </si>
  <si>
    <t>RE (0 %)</t>
  </si>
  <si>
    <t>TO (0.05 %)</t>
  </si>
  <si>
    <t>19672 (15.76 %)</t>
  </si>
  <si>
    <t>8775598 (0 %)</t>
  </si>
  <si>
    <t>TO  (0.05 %)</t>
  </si>
  <si>
    <t>76 (0 %)</t>
  </si>
  <si>
    <t>47 (0 %)</t>
  </si>
  <si>
    <t>62595 (48.34 %)</t>
  </si>
  <si>
    <t>330 (0 %)</t>
  </si>
  <si>
    <t>6127090 (0 %)</t>
  </si>
  <si>
    <t>123700 (2.73 %)</t>
  </si>
  <si>
    <t>45479 (1.8  %)</t>
  </si>
  <si>
    <t>7535200 (0%)</t>
  </si>
  <si>
    <t>TO (2.2%)</t>
  </si>
  <si>
    <t>The table shows the queries for which at least one of the systems gives incomplete or incorrect results. For other queries all system gives correct and complete results and thus not shown</t>
  </si>
  <si>
    <t>mean BGP-restricted Triple pattern selectivity</t>
  </si>
  <si>
    <t>mean Join-restricted Triple pattern selectivity</t>
  </si>
  <si>
    <t>S.D.</t>
  </si>
  <si>
    <t>Mean BGP-restricted Triple Pattern Sel: 0.33375932761553706</t>
  </si>
  <si>
    <t>BGP-Restricted Selectivites standard deviation: 0.5892752708164635</t>
  </si>
  <si>
    <t>Mean Join-restricted Triple Pattern Sel: 5.2083291649477546E-6</t>
  </si>
  <si>
    <t>Join-Restricted Selectivites standard deviation: 1.716051613893164E-5</t>
  </si>
  <si>
    <t>Mean BGP-restricted TP Sel</t>
  </si>
  <si>
    <t>Mean Join-restricted TP Sel</t>
  </si>
  <si>
    <t>-0.508893280632411*</t>
  </si>
  <si>
    <t>-0.334115612648221***</t>
  </si>
  <si>
    <t>-0.472755505364201**</t>
  </si>
  <si>
    <t>-0.441847826086956**</t>
  </si>
  <si>
    <t># Relevant Sources</t>
  </si>
  <si>
    <t># Minimum number of sources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</si>
</sst>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00\ _€_-;\-* #,##0.00\ _€_-;_-* &quot;-&quot;??\ _€_-;_-@_-"/>
    <numFmt numFmtId="165" formatCode="_-* #,##0\ _€_-;\-* #,##0\ _€_-;_-* &quot;-&quot;??\ _€_-;_-@_-"/>
    <numFmt numFmtId="166" formatCode="0.0000"/>
    <numFmt numFmtId="167" formatCode="0.00000"/>
  </numFmts>
  <fonts count="21"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sz val="12"/>
      <color rgb="FFFF0000"/>
      <name val="Calibri"/>
      <family val="2"/>
      <scheme val="minor"/>
    </font>
    <font>
      <sz val="12"/>
      <color theme="1"/>
      <name val="Calibri"/>
      <family val="2"/>
      <scheme val="minor"/>
    </font>
    <font>
      <b/>
      <sz val="11"/>
      <color rgb="FFC00000"/>
      <name val="Calibri"/>
      <family val="2"/>
      <scheme val="minor"/>
    </font>
    <font>
      <b/>
      <sz val="11"/>
      <name val="Calibri"/>
      <family val="2"/>
      <scheme val="minor"/>
    </font>
    <font>
      <sz val="12.1"/>
      <color theme="1"/>
      <name val="Calibri"/>
      <family val="2"/>
    </font>
    <font>
      <sz val="12.1"/>
      <name val="Calibri"/>
      <family val="2"/>
    </font>
    <font>
      <sz val="12.1"/>
      <color rgb="FF000000"/>
      <name val="Calibri"/>
      <family val="2"/>
    </font>
    <font>
      <sz val="10"/>
      <color rgb="FF000000"/>
      <name val="Arial"/>
      <family val="2"/>
    </font>
    <font>
      <sz val="11"/>
      <color rgb="FFC00000"/>
      <name val="Calibri"/>
      <family val="2"/>
      <scheme val="minor"/>
    </font>
    <font>
      <b/>
      <sz val="10"/>
      <color rgb="FF000000"/>
      <name val="Arial"/>
      <family val="2"/>
    </font>
    <font>
      <sz val="12"/>
      <color rgb="FF333333"/>
      <name val="Segoe UI"/>
      <family val="2"/>
    </font>
    <font>
      <b/>
      <i/>
      <sz val="12"/>
      <color rgb="FF333333"/>
      <name val="Times New Roman"/>
      <family val="1"/>
    </font>
    <font>
      <i/>
      <sz val="9"/>
      <color rgb="FF333333"/>
      <name val="Times New Roman"/>
      <family val="1"/>
    </font>
    <font>
      <sz val="9"/>
      <name val="Arial"/>
      <family val="2"/>
    </font>
  </fonts>
  <fills count="20">
    <fill>
      <patternFill patternType="none"/>
    </fill>
    <fill>
      <patternFill patternType="gray125"/>
    </fill>
    <fill>
      <patternFill patternType="solid">
        <fgColor rgb="FFA5A5A5"/>
      </patternFill>
    </fill>
    <fill>
      <patternFill patternType="solid">
        <fgColor rgb="FFFFFF00"/>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7" tint="-0.499984740745262"/>
        <bgColor indexed="64"/>
      </patternFill>
    </fill>
    <fill>
      <patternFill patternType="solid">
        <fgColor theme="6" tint="-0.249977111117893"/>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
      <patternFill patternType="solid">
        <fgColor rgb="FFF8F8F8"/>
        <bgColor indexed="64"/>
      </patternFill>
    </fill>
    <fill>
      <patternFill patternType="solid">
        <fgColor theme="3" tint="0.39997558519241921"/>
        <bgColor indexed="64"/>
      </patternFill>
    </fill>
    <fill>
      <patternFill patternType="solid">
        <fgColor theme="7"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bottom/>
      <diagonal/>
    </border>
    <border>
      <left/>
      <right/>
      <top/>
      <bottom style="medium">
        <color rgb="FFCCCCCC"/>
      </bottom>
      <diagonal/>
    </border>
    <border>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rgb="FFCCCCCC"/>
      </right>
      <top style="medium">
        <color indexed="64"/>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indexed="64"/>
      </left>
      <right style="medium">
        <color indexed="64"/>
      </right>
      <top style="medium">
        <color rgb="FFCCCCCC"/>
      </top>
      <bottom/>
      <diagonal/>
    </border>
    <border>
      <left style="medium">
        <color indexed="64"/>
      </left>
      <right style="medium">
        <color rgb="FFCCCCCC"/>
      </right>
      <top style="medium">
        <color rgb="FFCCCCCC"/>
      </top>
      <bottom/>
      <diagonal/>
    </border>
    <border>
      <left style="medium">
        <color rgb="FFDDDDDD"/>
      </left>
      <right style="medium">
        <color rgb="FFDDDDDD"/>
      </right>
      <top style="medium">
        <color rgb="FFDDDDDD"/>
      </top>
      <bottom style="medium">
        <color rgb="FFDDDDDD"/>
      </bottom>
      <diagonal/>
    </border>
    <border>
      <left style="medium">
        <color indexed="64"/>
      </left>
      <right style="medium">
        <color rgb="FFDDDDDD"/>
      </right>
      <top style="medium">
        <color indexed="64"/>
      </top>
      <bottom style="medium">
        <color rgb="FFDDDDDD"/>
      </bottom>
      <diagonal/>
    </border>
    <border>
      <left style="medium">
        <color rgb="FFDDDDDD"/>
      </left>
      <right style="medium">
        <color rgb="FFDDDDDD"/>
      </right>
      <top style="medium">
        <color indexed="64"/>
      </top>
      <bottom style="medium">
        <color rgb="FFDDDDDD"/>
      </bottom>
      <diagonal/>
    </border>
    <border>
      <left style="medium">
        <color rgb="FFDDDDDD"/>
      </left>
      <right style="medium">
        <color indexed="64"/>
      </right>
      <top style="medium">
        <color indexed="64"/>
      </top>
      <bottom style="medium">
        <color rgb="FFDDDDDD"/>
      </bottom>
      <diagonal/>
    </border>
    <border>
      <left style="medium">
        <color indexed="64"/>
      </left>
      <right style="medium">
        <color rgb="FFDDDDDD"/>
      </right>
      <top style="medium">
        <color rgb="FFDDDDDD"/>
      </top>
      <bottom style="medium">
        <color rgb="FFDDDDDD"/>
      </bottom>
      <diagonal/>
    </border>
    <border>
      <left style="medium">
        <color rgb="FFDDDDDD"/>
      </left>
      <right style="medium">
        <color indexed="64"/>
      </right>
      <top style="medium">
        <color rgb="FFDDDDDD"/>
      </top>
      <bottom style="medium">
        <color rgb="FFDDDDDD"/>
      </bottom>
      <diagonal/>
    </border>
    <border>
      <left style="medium">
        <color indexed="64"/>
      </left>
      <right style="medium">
        <color rgb="FFDDDDDD"/>
      </right>
      <top style="medium">
        <color rgb="FFDDDDDD"/>
      </top>
      <bottom style="medium">
        <color indexed="64"/>
      </bottom>
      <diagonal/>
    </border>
    <border>
      <left style="medium">
        <color rgb="FFDDDDDD"/>
      </left>
      <right style="medium">
        <color rgb="FFDDDDDD"/>
      </right>
      <top style="medium">
        <color rgb="FFDDDDDD"/>
      </top>
      <bottom style="medium">
        <color indexed="64"/>
      </bottom>
      <diagonal/>
    </border>
    <border>
      <left style="medium">
        <color rgb="FFDDDDDD"/>
      </left>
      <right style="medium">
        <color indexed="64"/>
      </right>
      <top style="medium">
        <color rgb="FFDDDDDD"/>
      </top>
      <bottom style="medium">
        <color indexed="64"/>
      </bottom>
      <diagonal/>
    </border>
    <border>
      <left style="medium">
        <color indexed="64"/>
      </left>
      <right style="medium">
        <color rgb="FFDDDDDD"/>
      </right>
      <top/>
      <bottom/>
      <diagonal/>
    </border>
    <border>
      <left style="medium">
        <color rgb="FFDDDDDD"/>
      </left>
      <right style="medium">
        <color rgb="FFDDDDDD"/>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4" fillId="2" borderId="2" applyNumberFormat="0" applyAlignment="0" applyProtection="0"/>
    <xf numFmtId="164" fontId="1" fillId="0" borderId="0" applyFont="0" applyFill="0" applyBorder="0" applyAlignment="0" applyProtection="0"/>
  </cellStyleXfs>
  <cellXfs count="245">
    <xf numFmtId="0" fontId="0" fillId="0" borderId="0" xfId="0"/>
    <xf numFmtId="0" fontId="0" fillId="0" borderId="1" xfId="0" applyBorder="1"/>
    <xf numFmtId="0" fontId="2" fillId="0" borderId="1" xfId="1" applyBorder="1"/>
    <xf numFmtId="0" fontId="2" fillId="0" borderId="0" xfId="1"/>
    <xf numFmtId="0" fontId="6" fillId="3" borderId="3" xfId="2" applyFont="1" applyFill="1" applyBorder="1"/>
    <xf numFmtId="0" fontId="4" fillId="4" borderId="4" xfId="2" applyFill="1" applyBorder="1"/>
    <xf numFmtId="0" fontId="4" fillId="5" borderId="4" xfId="2" applyFill="1" applyBorder="1"/>
    <xf numFmtId="0" fontId="4" fillId="6" borderId="4" xfId="2" applyFill="1" applyBorder="1"/>
    <xf numFmtId="0" fontId="4" fillId="7" borderId="5" xfId="2" applyFill="1" applyBorder="1"/>
    <xf numFmtId="0" fontId="0" fillId="0" borderId="6" xfId="0" applyBorder="1"/>
    <xf numFmtId="1" fontId="0" fillId="0" borderId="0" xfId="0" applyNumberFormat="1" applyFont="1" applyBorder="1"/>
    <xf numFmtId="1" fontId="0" fillId="0" borderId="0" xfId="0" applyNumberFormat="1" applyFont="1" applyFill="1" applyBorder="1"/>
    <xf numFmtId="0" fontId="3" fillId="8" borderId="8" xfId="0" applyFont="1" applyFill="1" applyBorder="1"/>
    <xf numFmtId="2" fontId="3" fillId="8" borderId="9" xfId="0" applyNumberFormat="1" applyFont="1" applyFill="1" applyBorder="1"/>
    <xf numFmtId="1" fontId="0" fillId="0" borderId="7" xfId="0" applyNumberFormat="1" applyFont="1" applyBorder="1"/>
    <xf numFmtId="1" fontId="0" fillId="0" borderId="0" xfId="3" applyNumberFormat="1" applyFont="1" applyBorder="1"/>
    <xf numFmtId="1" fontId="0" fillId="0" borderId="0" xfId="3" applyNumberFormat="1" applyFont="1" applyFill="1" applyBorder="1"/>
    <xf numFmtId="1" fontId="0" fillId="0" borderId="7" xfId="0" applyNumberFormat="1" applyFont="1" applyFill="1" applyBorder="1"/>
    <xf numFmtId="0" fontId="0" fillId="0" borderId="6" xfId="0" applyFill="1" applyBorder="1"/>
    <xf numFmtId="0" fontId="7" fillId="0" borderId="0" xfId="0" applyFont="1"/>
    <xf numFmtId="0" fontId="8" fillId="0" borderId="0" xfId="0" applyFont="1"/>
    <xf numFmtId="0" fontId="5" fillId="0" borderId="0" xfId="0" applyFont="1"/>
    <xf numFmtId="0" fontId="0" fillId="9" borderId="10" xfId="0" applyFill="1" applyBorder="1"/>
    <xf numFmtId="0" fontId="6" fillId="3" borderId="14" xfId="2" applyFont="1" applyFill="1" applyBorder="1"/>
    <xf numFmtId="0" fontId="4" fillId="4" borderId="6" xfId="2" applyFill="1" applyBorder="1"/>
    <xf numFmtId="0" fontId="4" fillId="7" borderId="0" xfId="2" applyFill="1" applyBorder="1"/>
    <xf numFmtId="0" fontId="4" fillId="5" borderId="0" xfId="2" applyFill="1" applyBorder="1"/>
    <xf numFmtId="0" fontId="4" fillId="6" borderId="0" xfId="2" applyFill="1" applyBorder="1"/>
    <xf numFmtId="0" fontId="4" fillId="4" borderId="3" xfId="2" applyFill="1" applyBorder="1"/>
    <xf numFmtId="0" fontId="4" fillId="7" borderId="4" xfId="2" applyFill="1" applyBorder="1"/>
    <xf numFmtId="0" fontId="4" fillId="5" borderId="5" xfId="2" applyFill="1" applyBorder="1"/>
    <xf numFmtId="0" fontId="4" fillId="4" borderId="15" xfId="2" applyFill="1" applyBorder="1"/>
    <xf numFmtId="0" fontId="4" fillId="7" borderId="16" xfId="2" applyFill="1" applyBorder="1"/>
    <xf numFmtId="0" fontId="4" fillId="5" borderId="17" xfId="2" applyFill="1" applyBorder="1"/>
    <xf numFmtId="0" fontId="4" fillId="6" borderId="5" xfId="2" applyFill="1" applyBorder="1"/>
    <xf numFmtId="0" fontId="0" fillId="0" borderId="3" xfId="0" applyFont="1" applyBorder="1"/>
    <xf numFmtId="0" fontId="0" fillId="0" borderId="4" xfId="0" applyFont="1" applyBorder="1"/>
    <xf numFmtId="1" fontId="0" fillId="0" borderId="4" xfId="0" applyNumberFormat="1" applyFont="1" applyBorder="1"/>
    <xf numFmtId="165" fontId="5" fillId="0" borderId="5" xfId="3" applyNumberFormat="1" applyFont="1" applyBorder="1"/>
    <xf numFmtId="0" fontId="0" fillId="0" borderId="5" xfId="0" applyFont="1" applyFill="1" applyBorder="1"/>
    <xf numFmtId="0" fontId="5" fillId="0" borderId="3" xfId="0" applyFont="1" applyFill="1" applyBorder="1"/>
    <xf numFmtId="0" fontId="5" fillId="0" borderId="4" xfId="0" applyFont="1" applyFill="1" applyBorder="1"/>
    <xf numFmtId="0" fontId="0" fillId="0" borderId="4" xfId="0" applyFont="1" applyFill="1" applyBorder="1"/>
    <xf numFmtId="0" fontId="1" fillId="0" borderId="5" xfId="3" applyNumberFormat="1" applyFont="1" applyBorder="1"/>
    <xf numFmtId="0" fontId="5" fillId="0" borderId="6" xfId="0" applyFont="1" applyBorder="1"/>
    <xf numFmtId="0" fontId="0" fillId="0" borderId="0" xfId="0" applyFont="1" applyBorder="1"/>
    <xf numFmtId="165" fontId="5" fillId="0" borderId="7" xfId="3" applyNumberFormat="1" applyFont="1" applyBorder="1"/>
    <xf numFmtId="0" fontId="0" fillId="0" borderId="7" xfId="0" applyFont="1" applyFill="1" applyBorder="1"/>
    <xf numFmtId="0" fontId="5" fillId="0" borderId="6" xfId="0" applyFont="1" applyFill="1" applyBorder="1"/>
    <xf numFmtId="0" fontId="5" fillId="0" borderId="0" xfId="0" applyFont="1" applyFill="1" applyBorder="1"/>
    <xf numFmtId="0" fontId="1" fillId="0" borderId="7" xfId="3" applyNumberFormat="1" applyFont="1" applyBorder="1"/>
    <xf numFmtId="0" fontId="0" fillId="0" borderId="6" xfId="0" applyFont="1" applyBorder="1"/>
    <xf numFmtId="0" fontId="0" fillId="0" borderId="0" xfId="0" applyFont="1" applyFill="1" applyBorder="1"/>
    <xf numFmtId="0" fontId="0" fillId="0" borderId="6" xfId="0" applyFont="1" applyFill="1" applyBorder="1"/>
    <xf numFmtId="0" fontId="0" fillId="0" borderId="7" xfId="0" applyFont="1" applyFill="1" applyBorder="1" applyAlignment="1">
      <alignment horizontal="right"/>
    </xf>
    <xf numFmtId="165" fontId="5" fillId="0" borderId="7" xfId="3" applyNumberFormat="1" applyFont="1" applyFill="1" applyBorder="1"/>
    <xf numFmtId="0" fontId="1" fillId="0" borderId="7" xfId="3" applyNumberFormat="1" applyFont="1" applyFill="1" applyBorder="1"/>
    <xf numFmtId="0" fontId="3" fillId="0" borderId="0" xfId="0" applyFont="1" applyFill="1" applyBorder="1"/>
    <xf numFmtId="0" fontId="3" fillId="8" borderId="6" xfId="0" applyFont="1" applyFill="1" applyBorder="1"/>
    <xf numFmtId="0" fontId="3" fillId="8" borderId="0" xfId="0" applyFont="1" applyFill="1" applyBorder="1"/>
    <xf numFmtId="43" fontId="9" fillId="8" borderId="7" xfId="0" applyNumberFormat="1" applyFont="1" applyFill="1" applyBorder="1"/>
    <xf numFmtId="0" fontId="3" fillId="8" borderId="7" xfId="0" applyFont="1" applyFill="1" applyBorder="1"/>
    <xf numFmtId="0" fontId="9" fillId="8" borderId="0" xfId="0" applyFont="1" applyFill="1" applyBorder="1"/>
    <xf numFmtId="0" fontId="9" fillId="8" borderId="7" xfId="0" applyFont="1" applyFill="1" applyBorder="1"/>
    <xf numFmtId="0" fontId="0" fillId="0" borderId="7" xfId="3" applyNumberFormat="1" applyFont="1" applyFill="1" applyBorder="1"/>
    <xf numFmtId="0" fontId="0" fillId="0" borderId="7" xfId="3" applyNumberFormat="1" applyFont="1" applyBorder="1"/>
    <xf numFmtId="0" fontId="5" fillId="0" borderId="0" xfId="0" applyFont="1" applyBorder="1"/>
    <xf numFmtId="1" fontId="3" fillId="8" borderId="0" xfId="0" applyNumberFormat="1" applyFont="1" applyFill="1" applyBorder="1"/>
    <xf numFmtId="1" fontId="9" fillId="8" borderId="7" xfId="0" applyNumberFormat="1" applyFont="1" applyFill="1" applyBorder="1"/>
    <xf numFmtId="0" fontId="3" fillId="8" borderId="9" xfId="0" applyFont="1" applyFill="1" applyBorder="1"/>
    <xf numFmtId="43" fontId="9" fillId="8" borderId="18" xfId="0" applyNumberFormat="1" applyFont="1" applyFill="1" applyBorder="1"/>
    <xf numFmtId="0" fontId="3" fillId="8" borderId="18" xfId="0" applyFont="1" applyFill="1" applyBorder="1"/>
    <xf numFmtId="0" fontId="9" fillId="8" borderId="8" xfId="0" applyFont="1" applyFill="1" applyBorder="1"/>
    <xf numFmtId="0" fontId="9" fillId="8" borderId="9" xfId="0" applyFont="1" applyFill="1" applyBorder="1"/>
    <xf numFmtId="0" fontId="9" fillId="8" borderId="18" xfId="0" applyFont="1" applyFill="1" applyBorder="1"/>
    <xf numFmtId="0" fontId="3" fillId="0" borderId="11" xfId="0" applyFont="1" applyBorder="1"/>
    <xf numFmtId="0" fontId="10" fillId="0" borderId="8" xfId="0" applyFont="1" applyBorder="1"/>
    <xf numFmtId="0" fontId="10" fillId="0" borderId="9" xfId="0" applyFont="1" applyBorder="1"/>
    <xf numFmtId="1" fontId="3" fillId="0" borderId="9" xfId="0" applyNumberFormat="1" applyFont="1" applyBorder="1"/>
    <xf numFmtId="165" fontId="6" fillId="0" borderId="18" xfId="0" applyNumberFormat="1" applyFont="1" applyBorder="1"/>
    <xf numFmtId="0" fontId="10" fillId="0" borderId="18" xfId="0" applyFont="1" applyBorder="1"/>
    <xf numFmtId="0" fontId="6" fillId="0" borderId="8" xfId="0" applyFont="1" applyBorder="1"/>
    <xf numFmtId="0" fontId="3" fillId="0" borderId="9" xfId="0" applyFont="1" applyBorder="1"/>
    <xf numFmtId="0" fontId="3" fillId="0" borderId="18" xfId="0" applyFont="1" applyBorder="1"/>
    <xf numFmtId="0" fontId="3" fillId="0" borderId="8" xfId="0" applyFont="1" applyBorder="1"/>
    <xf numFmtId="0" fontId="6" fillId="0" borderId="9" xfId="0" applyFont="1" applyBorder="1"/>
    <xf numFmtId="0" fontId="6" fillId="0" borderId="18" xfId="0" applyFont="1" applyBorder="1"/>
    <xf numFmtId="0" fontId="4" fillId="9" borderId="3" xfId="2" applyFill="1" applyBorder="1"/>
    <xf numFmtId="0" fontId="4" fillId="9" borderId="4" xfId="2" applyFill="1" applyBorder="1"/>
    <xf numFmtId="0" fontId="4" fillId="9" borderId="5" xfId="2" applyFill="1" applyBorder="1"/>
    <xf numFmtId="0" fontId="3" fillId="0" borderId="6" xfId="0" applyFont="1" applyBorder="1"/>
    <xf numFmtId="0" fontId="0" fillId="0" borderId="0" xfId="0" applyBorder="1"/>
    <xf numFmtId="0" fontId="11" fillId="0" borderId="0" xfId="0" applyFont="1" applyBorder="1" applyAlignment="1">
      <alignment horizontal="right"/>
    </xf>
    <xf numFmtId="0" fontId="0" fillId="0" borderId="0" xfId="0" applyBorder="1" applyAlignment="1">
      <alignment horizontal="right"/>
    </xf>
    <xf numFmtId="0" fontId="12" fillId="0" borderId="0" xfId="0" applyFont="1" applyBorder="1" applyAlignment="1">
      <alignment horizontal="right"/>
    </xf>
    <xf numFmtId="0" fontId="0" fillId="0" borderId="7" xfId="0" applyBorder="1"/>
    <xf numFmtId="0" fontId="0" fillId="0" borderId="9" xfId="0" applyBorder="1"/>
    <xf numFmtId="166" fontId="0" fillId="0" borderId="9" xfId="0" applyNumberFormat="1" applyBorder="1"/>
    <xf numFmtId="0" fontId="13" fillId="0" borderId="0" xfId="0" applyFont="1" applyBorder="1" applyAlignment="1">
      <alignment horizontal="right"/>
    </xf>
    <xf numFmtId="0" fontId="0" fillId="0" borderId="0" xfId="0" applyFill="1" applyBorder="1"/>
    <xf numFmtId="0" fontId="0" fillId="0" borderId="0" xfId="0" applyNumberFormat="1"/>
    <xf numFmtId="0" fontId="0" fillId="0" borderId="19" xfId="0" applyBorder="1"/>
    <xf numFmtId="0" fontId="0" fillId="0" borderId="20" xfId="0" applyBorder="1"/>
    <xf numFmtId="0" fontId="3" fillId="10" borderId="20" xfId="0" applyFont="1" applyFill="1" applyBorder="1"/>
    <xf numFmtId="0" fontId="0" fillId="0" borderId="20" xfId="0" applyFill="1" applyBorder="1"/>
    <xf numFmtId="2" fontId="0" fillId="0" borderId="0" xfId="0" applyNumberFormat="1"/>
    <xf numFmtId="2" fontId="5" fillId="0" borderId="7" xfId="0" applyNumberFormat="1" applyFont="1" applyBorder="1"/>
    <xf numFmtId="0" fontId="3" fillId="9" borderId="10" xfId="0" applyFont="1" applyFill="1" applyBorder="1"/>
    <xf numFmtId="0" fontId="3" fillId="0" borderId="21" xfId="0" applyFont="1" applyBorder="1"/>
    <xf numFmtId="0" fontId="0" fillId="0" borderId="8" xfId="0" applyBorder="1"/>
    <xf numFmtId="0" fontId="0" fillId="0" borderId="3" xfId="0" applyBorder="1"/>
    <xf numFmtId="0" fontId="0" fillId="0" borderId="18" xfId="0" applyBorder="1"/>
    <xf numFmtId="1" fontId="0" fillId="0" borderId="0" xfId="0" applyNumberFormat="1"/>
    <xf numFmtId="0" fontId="0" fillId="8" borderId="0" xfId="0" applyFill="1" applyBorder="1"/>
    <xf numFmtId="0" fontId="0" fillId="13" borderId="0" xfId="0" applyFill="1" applyBorder="1"/>
    <xf numFmtId="0" fontId="0" fillId="11" borderId="0" xfId="0" applyFill="1" applyBorder="1"/>
    <xf numFmtId="0" fontId="0" fillId="12" borderId="7" xfId="0" applyFill="1" applyBorder="1"/>
    <xf numFmtId="0" fontId="0" fillId="0" borderId="7" xfId="0" applyBorder="1" applyAlignment="1">
      <alignment horizontal="right"/>
    </xf>
    <xf numFmtId="0" fontId="3" fillId="0" borderId="3" xfId="0" applyFont="1" applyBorder="1"/>
    <xf numFmtId="0" fontId="3" fillId="0" borderId="4" xfId="0" applyFont="1" applyBorder="1"/>
    <xf numFmtId="0" fontId="3" fillId="0" borderId="5" xfId="0" applyFont="1" applyBorder="1"/>
    <xf numFmtId="0" fontId="0" fillId="8" borderId="6" xfId="0" applyFill="1" applyBorder="1"/>
    <xf numFmtId="0" fontId="0" fillId="0" borderId="21" xfId="0" applyBorder="1"/>
    <xf numFmtId="0" fontId="0" fillId="3" borderId="23" xfId="0" applyFill="1" applyBorder="1"/>
    <xf numFmtId="0" fontId="0" fillId="3" borderId="11" xfId="0" applyFill="1" applyBorder="1"/>
    <xf numFmtId="0" fontId="0" fillId="0" borderId="5" xfId="0" applyBorder="1"/>
    <xf numFmtId="0" fontId="0" fillId="12" borderId="11" xfId="0" applyFill="1" applyBorder="1"/>
    <xf numFmtId="0" fontId="0" fillId="12" borderId="13" xfId="0" applyFill="1" applyBorder="1"/>
    <xf numFmtId="0" fontId="0" fillId="10" borderId="12" xfId="0" applyFill="1" applyBorder="1"/>
    <xf numFmtId="0" fontId="0" fillId="10" borderId="13" xfId="0" applyFill="1" applyBorder="1"/>
    <xf numFmtId="0" fontId="0" fillId="16" borderId="0" xfId="0" applyFill="1"/>
    <xf numFmtId="0" fontId="14" fillId="16" borderId="24" xfId="0" applyFont="1" applyFill="1" applyBorder="1" applyAlignment="1">
      <alignment vertical="center" wrapText="1"/>
    </xf>
    <xf numFmtId="0" fontId="0" fillId="16" borderId="25" xfId="0" applyFill="1" applyBorder="1"/>
    <xf numFmtId="0" fontId="0" fillId="16" borderId="26" xfId="0" applyFill="1" applyBorder="1"/>
    <xf numFmtId="0" fontId="0" fillId="16" borderId="27" xfId="0" applyFill="1" applyBorder="1"/>
    <xf numFmtId="0" fontId="14" fillId="16" borderId="28" xfId="0" applyFont="1" applyFill="1" applyBorder="1" applyAlignment="1">
      <alignment vertical="center" wrapText="1"/>
    </xf>
    <xf numFmtId="0" fontId="0" fillId="0" borderId="4" xfId="0" applyBorder="1"/>
    <xf numFmtId="0" fontId="0" fillId="0" borderId="11" xfId="0" applyBorder="1"/>
    <xf numFmtId="0" fontId="0" fillId="0" borderId="12" xfId="0" applyBorder="1"/>
    <xf numFmtId="0" fontId="0" fillId="0" borderId="13" xfId="0" applyBorder="1"/>
    <xf numFmtId="0" fontId="15" fillId="0" borderId="0" xfId="0" applyFont="1"/>
    <xf numFmtId="0" fontId="0" fillId="0" borderId="13" xfId="0" applyFill="1" applyBorder="1"/>
    <xf numFmtId="0" fontId="0" fillId="0" borderId="12" xfId="0" applyFill="1" applyBorder="1"/>
    <xf numFmtId="0" fontId="0" fillId="3" borderId="0" xfId="0" applyFill="1" applyBorder="1"/>
    <xf numFmtId="0" fontId="0" fillId="12" borderId="0" xfId="0" applyFill="1" applyBorder="1"/>
    <xf numFmtId="0" fontId="0" fillId="10" borderId="0" xfId="0" applyFill="1" applyBorder="1"/>
    <xf numFmtId="0" fontId="3" fillId="0" borderId="0" xfId="0" applyFont="1" applyBorder="1"/>
    <xf numFmtId="0" fontId="14" fillId="16" borderId="29" xfId="0" applyFont="1" applyFill="1" applyBorder="1" applyAlignment="1">
      <alignment vertical="center" wrapText="1"/>
    </xf>
    <xf numFmtId="0" fontId="14" fillId="16" borderId="30" xfId="0" applyFont="1" applyFill="1" applyBorder="1" applyAlignment="1">
      <alignment vertical="center" wrapText="1"/>
    </xf>
    <xf numFmtId="0" fontId="14" fillId="16" borderId="31" xfId="0" applyFont="1" applyFill="1" applyBorder="1" applyAlignment="1">
      <alignment vertical="center" wrapText="1"/>
    </xf>
    <xf numFmtId="0" fontId="14" fillId="16" borderId="32" xfId="0" applyFont="1" applyFill="1" applyBorder="1" applyAlignment="1">
      <alignment vertical="center" wrapText="1"/>
    </xf>
    <xf numFmtId="0" fontId="14" fillId="16" borderId="33" xfId="0" applyFont="1" applyFill="1" applyBorder="1" applyAlignment="1">
      <alignment vertical="center" wrapText="1"/>
    </xf>
    <xf numFmtId="0" fontId="14" fillId="16" borderId="34" xfId="0" applyFont="1" applyFill="1" applyBorder="1" applyAlignment="1">
      <alignment vertical="center" wrapText="1"/>
    </xf>
    <xf numFmtId="0" fontId="16" fillId="16" borderId="23" xfId="0" applyFont="1" applyFill="1" applyBorder="1" applyAlignment="1">
      <alignment vertical="center" wrapText="1"/>
    </xf>
    <xf numFmtId="0" fontId="3" fillId="0" borderId="13" xfId="0" applyFont="1" applyBorder="1"/>
    <xf numFmtId="2" fontId="3" fillId="0" borderId="11" xfId="0" applyNumberFormat="1" applyFont="1" applyBorder="1"/>
    <xf numFmtId="0" fontId="0" fillId="0" borderId="23" xfId="0" applyFill="1" applyBorder="1"/>
    <xf numFmtId="0" fontId="14" fillId="0" borderId="0" xfId="0" applyFont="1"/>
    <xf numFmtId="0" fontId="17" fillId="16" borderId="35" xfId="0" applyFont="1" applyFill="1" applyBorder="1" applyAlignment="1">
      <alignment horizontal="left" vertical="center" wrapText="1" indent="1"/>
    </xf>
    <xf numFmtId="0" fontId="17" fillId="17" borderId="35" xfId="0" applyFont="1" applyFill="1" applyBorder="1" applyAlignment="1">
      <alignment horizontal="left" vertical="center" wrapText="1" indent="1"/>
    </xf>
    <xf numFmtId="0" fontId="18" fillId="16" borderId="36"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16" borderId="38" xfId="0" applyFont="1" applyFill="1" applyBorder="1" applyAlignment="1">
      <alignment horizontal="center" vertical="center" wrapText="1"/>
    </xf>
    <xf numFmtId="0" fontId="17" fillId="16" borderId="39" xfId="0" applyFont="1" applyFill="1" applyBorder="1" applyAlignment="1">
      <alignment horizontal="left" vertical="center" wrapText="1" indent="1"/>
    </xf>
    <xf numFmtId="0" fontId="17" fillId="16" borderId="40" xfId="0" applyFont="1" applyFill="1" applyBorder="1" applyAlignment="1">
      <alignment horizontal="left" vertical="center" wrapText="1" indent="1"/>
    </xf>
    <xf numFmtId="0" fontId="17" fillId="17" borderId="39" xfId="0" applyFont="1" applyFill="1" applyBorder="1" applyAlignment="1">
      <alignment horizontal="left" vertical="center" wrapText="1" indent="1"/>
    </xf>
    <xf numFmtId="0" fontId="17" fillId="17" borderId="40" xfId="0" applyFont="1" applyFill="1" applyBorder="1" applyAlignment="1">
      <alignment horizontal="left" vertical="center" wrapText="1" indent="1"/>
    </xf>
    <xf numFmtId="0" fontId="17" fillId="17" borderId="41" xfId="0" applyFont="1" applyFill="1" applyBorder="1" applyAlignment="1">
      <alignment horizontal="left" vertical="center" wrapText="1" indent="1"/>
    </xf>
    <xf numFmtId="0" fontId="17" fillId="17" borderId="42" xfId="0" applyFont="1" applyFill="1" applyBorder="1" applyAlignment="1">
      <alignment horizontal="left" vertical="center" wrapText="1" indent="1"/>
    </xf>
    <xf numFmtId="0" fontId="17" fillId="17" borderId="43" xfId="0" applyFont="1" applyFill="1" applyBorder="1" applyAlignment="1">
      <alignment horizontal="left" vertical="center" wrapText="1" indent="1"/>
    </xf>
    <xf numFmtId="0" fontId="17" fillId="3" borderId="39" xfId="0" applyFont="1" applyFill="1" applyBorder="1" applyAlignment="1">
      <alignment horizontal="left" vertical="center" wrapText="1" indent="1"/>
    </xf>
    <xf numFmtId="0" fontId="17" fillId="3" borderId="35" xfId="0" applyFont="1" applyFill="1" applyBorder="1" applyAlignment="1">
      <alignment horizontal="left" vertical="center" wrapText="1" indent="1"/>
    </xf>
    <xf numFmtId="0" fontId="17" fillId="3" borderId="40" xfId="0" applyFont="1" applyFill="1" applyBorder="1" applyAlignment="1">
      <alignment horizontal="left" vertical="center" wrapText="1" indent="1"/>
    </xf>
    <xf numFmtId="0" fontId="17" fillId="3" borderId="44" xfId="0" applyFont="1" applyFill="1" applyBorder="1" applyAlignment="1">
      <alignment horizontal="left" vertical="center" wrapText="1" indent="1"/>
    </xf>
    <xf numFmtId="0" fontId="17" fillId="3" borderId="45" xfId="0" applyFont="1" applyFill="1" applyBorder="1" applyAlignment="1">
      <alignment horizontal="left" vertical="center" wrapText="1" indent="1"/>
    </xf>
    <xf numFmtId="0" fontId="0" fillId="3" borderId="0" xfId="0" applyFill="1"/>
    <xf numFmtId="0" fontId="19" fillId="16" borderId="36" xfId="0" applyFont="1" applyFill="1" applyBorder="1" applyAlignment="1">
      <alignment horizontal="center" vertical="center" wrapText="1"/>
    </xf>
    <xf numFmtId="0" fontId="19" fillId="16" borderId="37" xfId="0" applyFont="1" applyFill="1" applyBorder="1" applyAlignment="1">
      <alignment horizontal="center" vertical="center" wrapText="1"/>
    </xf>
    <xf numFmtId="0" fontId="19" fillId="16" borderId="38" xfId="0" applyFont="1" applyFill="1" applyBorder="1" applyAlignment="1">
      <alignment horizontal="center" vertical="center" wrapText="1"/>
    </xf>
    <xf numFmtId="0" fontId="20" fillId="0" borderId="1" xfId="0" applyNumberFormat="1" applyFont="1" applyBorder="1" applyProtection="1">
      <protection hidden="1"/>
    </xf>
    <xf numFmtId="0" fontId="20" fillId="0" borderId="46" xfId="0" applyNumberFormat="1" applyFont="1" applyBorder="1" applyProtection="1">
      <protection hidden="1"/>
    </xf>
    <xf numFmtId="0" fontId="20" fillId="0" borderId="22" xfId="0" applyNumberFormat="1" applyFont="1" applyBorder="1" applyProtection="1">
      <protection hidden="1"/>
    </xf>
    <xf numFmtId="0" fontId="20" fillId="0" borderId="47" xfId="0" applyNumberFormat="1" applyFont="1" applyBorder="1" applyProtection="1">
      <protection hidden="1"/>
    </xf>
    <xf numFmtId="1" fontId="5" fillId="0" borderId="0" xfId="0" applyNumberFormat="1" applyFont="1" applyBorder="1"/>
    <xf numFmtId="1" fontId="5" fillId="0" borderId="0" xfId="0" applyNumberFormat="1" applyFont="1" applyFill="1" applyBorder="1"/>
    <xf numFmtId="0" fontId="6" fillId="0" borderId="6" xfId="0" applyFont="1" applyFill="1" applyBorder="1"/>
    <xf numFmtId="1" fontId="6" fillId="0" borderId="0" xfId="0" applyNumberFormat="1" applyFont="1"/>
    <xf numFmtId="1" fontId="5" fillId="0" borderId="0" xfId="3" applyNumberFormat="1" applyFont="1" applyBorder="1"/>
    <xf numFmtId="1" fontId="5" fillId="0" borderId="0" xfId="3" applyNumberFormat="1" applyFont="1" applyFill="1" applyBorder="1"/>
    <xf numFmtId="0" fontId="0" fillId="3" borderId="6" xfId="0" applyFill="1" applyBorder="1"/>
    <xf numFmtId="1" fontId="3" fillId="3" borderId="0" xfId="0" applyNumberFormat="1" applyFont="1" applyFill="1" applyBorder="1"/>
    <xf numFmtId="1" fontId="0" fillId="3" borderId="0" xfId="0" applyNumberFormat="1" applyFont="1" applyFill="1" applyBorder="1"/>
    <xf numFmtId="0" fontId="0" fillId="0" borderId="0" xfId="0" applyFill="1"/>
    <xf numFmtId="1" fontId="5" fillId="3" borderId="0" xfId="3" applyNumberFormat="1" applyFont="1" applyFill="1" applyBorder="1"/>
    <xf numFmtId="1" fontId="3" fillId="3" borderId="7" xfId="0" applyNumberFormat="1" applyFont="1" applyFill="1" applyBorder="1"/>
    <xf numFmtId="1" fontId="0" fillId="3" borderId="7" xfId="0" applyNumberFormat="1" applyFont="1" applyFill="1" applyBorder="1"/>
    <xf numFmtId="0" fontId="6" fillId="0" borderId="8" xfId="0" applyFont="1" applyFill="1" applyBorder="1"/>
    <xf numFmtId="1" fontId="6" fillId="0" borderId="9" xfId="0" applyNumberFormat="1" applyFont="1" applyBorder="1"/>
    <xf numFmtId="1" fontId="6" fillId="0" borderId="18" xfId="0" applyNumberFormat="1" applyFont="1" applyBorder="1"/>
    <xf numFmtId="1" fontId="0" fillId="0" borderId="6" xfId="0" applyNumberFormat="1" applyFont="1" applyFill="1" applyBorder="1"/>
    <xf numFmtId="2" fontId="0" fillId="0" borderId="7" xfId="0" applyNumberFormat="1" applyBorder="1"/>
    <xf numFmtId="2" fontId="0" fillId="0" borderId="0" xfId="0" applyNumberFormat="1" applyBorder="1"/>
    <xf numFmtId="2" fontId="0" fillId="0" borderId="18" xfId="0" applyNumberFormat="1" applyBorder="1"/>
    <xf numFmtId="0" fontId="0" fillId="0" borderId="9" xfId="0" applyFill="1" applyBorder="1"/>
    <xf numFmtId="1" fontId="0" fillId="0" borderId="7" xfId="0" applyNumberFormat="1" applyBorder="1"/>
    <xf numFmtId="1" fontId="5" fillId="0" borderId="7" xfId="0" applyNumberFormat="1" applyFont="1" applyBorder="1"/>
    <xf numFmtId="1" fontId="5" fillId="0" borderId="18" xfId="0" applyNumberFormat="1" applyFont="1" applyBorder="1"/>
    <xf numFmtId="11" fontId="0" fillId="0" borderId="0" xfId="0" applyNumberFormat="1" applyBorder="1"/>
    <xf numFmtId="11" fontId="0" fillId="0" borderId="0" xfId="0" applyNumberFormat="1"/>
    <xf numFmtId="11" fontId="0" fillId="0" borderId="9" xfId="0" applyNumberFormat="1" applyBorder="1"/>
    <xf numFmtId="11" fontId="14" fillId="16" borderId="24" xfId="0" applyNumberFormat="1" applyFont="1" applyFill="1" applyBorder="1" applyAlignment="1">
      <alignment vertical="center" wrapText="1"/>
    </xf>
    <xf numFmtId="0" fontId="20" fillId="0" borderId="1" xfId="0" applyFont="1" applyBorder="1" applyProtection="1">
      <protection hidden="1"/>
    </xf>
    <xf numFmtId="49" fontId="0" fillId="0" borderId="0" xfId="0" applyNumberFormat="1"/>
    <xf numFmtId="49" fontId="0" fillId="0" borderId="0" xfId="0" applyNumberFormat="1" applyBorder="1"/>
    <xf numFmtId="49" fontId="20" fillId="0" borderId="1" xfId="0" applyNumberFormat="1" applyFont="1" applyBorder="1" applyProtection="1">
      <protection hidden="1"/>
    </xf>
    <xf numFmtId="167" fontId="0" fillId="0" borderId="0" xfId="0" applyNumberFormat="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18" borderId="3" xfId="0" applyFill="1" applyBorder="1" applyAlignment="1">
      <alignment horizontal="center"/>
    </xf>
    <xf numFmtId="0" fontId="0" fillId="18" borderId="4" xfId="0" applyFill="1" applyBorder="1" applyAlignment="1">
      <alignment horizontal="center"/>
    </xf>
    <xf numFmtId="0" fontId="0" fillId="18" borderId="5" xfId="0" applyFill="1" applyBorder="1" applyAlignment="1">
      <alignment horizontal="center"/>
    </xf>
    <xf numFmtId="0" fontId="0" fillId="19" borderId="3" xfId="0" applyFill="1" applyBorder="1" applyAlignment="1">
      <alignment horizontal="center"/>
    </xf>
    <xf numFmtId="0" fontId="0" fillId="19" borderId="4" xfId="0" applyFill="1" applyBorder="1" applyAlignment="1">
      <alignment horizontal="center"/>
    </xf>
    <xf numFmtId="0" fontId="0" fillId="19" borderId="5"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3" fillId="9" borderId="11" xfId="2" applyFont="1" applyFill="1" applyBorder="1" applyAlignment="1">
      <alignment horizontal="center"/>
    </xf>
    <xf numFmtId="0" fontId="3" fillId="9" borderId="12" xfId="2" applyFont="1" applyFill="1" applyBorder="1" applyAlignment="1">
      <alignment horizontal="center"/>
    </xf>
    <xf numFmtId="0" fontId="3" fillId="9" borderId="13" xfId="2" applyFont="1" applyFill="1" applyBorder="1" applyAlignment="1">
      <alignment horizontal="center"/>
    </xf>
    <xf numFmtId="0" fontId="3" fillId="9" borderId="4" xfId="2" applyFont="1" applyFill="1" applyBorder="1" applyAlignment="1">
      <alignment horizontal="center"/>
    </xf>
    <xf numFmtId="0" fontId="3" fillId="9" borderId="3" xfId="2" applyFont="1" applyFill="1" applyBorder="1" applyAlignment="1">
      <alignment horizontal="center"/>
    </xf>
    <xf numFmtId="0" fontId="3" fillId="9" borderId="5" xfId="2" applyFont="1" applyFill="1" applyBorder="1" applyAlignment="1">
      <alignment horizontal="center"/>
    </xf>
    <xf numFmtId="0" fontId="0" fillId="15" borderId="0" xfId="0" applyFill="1" applyBorder="1" applyAlignment="1">
      <alignment horizontal="center"/>
    </xf>
    <xf numFmtId="0" fontId="0" fillId="15" borderId="9" xfId="0" applyFill="1" applyBorder="1" applyAlignment="1">
      <alignment horizontal="center"/>
    </xf>
    <xf numFmtId="0" fontId="3" fillId="15" borderId="12" xfId="0" applyFont="1" applyFill="1" applyBorder="1" applyAlignment="1">
      <alignment horizontal="center"/>
    </xf>
    <xf numFmtId="0" fontId="3" fillId="15" borderId="13" xfId="0" applyFont="1" applyFill="1" applyBorder="1" applyAlignment="1">
      <alignment horizontal="center"/>
    </xf>
    <xf numFmtId="0" fontId="3" fillId="15" borderId="11" xfId="0" applyFont="1" applyFill="1" applyBorder="1" applyAlignment="1">
      <alignment horizontal="center"/>
    </xf>
    <xf numFmtId="0" fontId="0" fillId="12" borderId="11" xfId="0" applyFill="1" applyBorder="1" applyAlignment="1">
      <alignment horizontal="center"/>
    </xf>
    <xf numFmtId="0" fontId="0" fillId="12" borderId="13" xfId="0" applyFill="1" applyBorder="1" applyAlignment="1">
      <alignment horizontal="center"/>
    </xf>
    <xf numFmtId="0" fontId="0" fillId="10" borderId="11" xfId="0" applyFill="1" applyBorder="1" applyAlignment="1">
      <alignment horizontal="center"/>
    </xf>
    <xf numFmtId="0" fontId="0" fillId="10" borderId="13" xfId="0" applyFill="1" applyBorder="1" applyAlignment="1">
      <alignment horizontal="center"/>
    </xf>
    <xf numFmtId="0" fontId="3" fillId="14" borderId="11" xfId="0" applyFont="1" applyFill="1" applyBorder="1" applyAlignment="1">
      <alignment horizontal="center"/>
    </xf>
    <xf numFmtId="0" fontId="3" fillId="14" borderId="12" xfId="0" applyFont="1" applyFill="1" applyBorder="1" applyAlignment="1">
      <alignment horizontal="center"/>
    </xf>
    <xf numFmtId="0" fontId="3" fillId="14" borderId="13" xfId="0" applyFont="1" applyFill="1" applyBorder="1" applyAlignment="1">
      <alignment horizontal="center"/>
    </xf>
  </cellXfs>
  <cellStyles count="4">
    <cellStyle name="Check Cell" xfId="2" builtinId="23"/>
    <cellStyle name="Comma 2" xfId="3"/>
    <cellStyle name="Heading 4" xfId="1" builtinId="19"/>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21770886428558E-2"/>
          <c:y val="3.3951868803096821E-2"/>
          <c:w val="0.91890075551033557"/>
          <c:h val="0.88182217480087555"/>
        </c:manualLayout>
      </c:layout>
      <c:barChart>
        <c:barDir val="col"/>
        <c:grouping val="clustered"/>
        <c:varyColors val="0"/>
        <c:ser>
          <c:idx val="0"/>
          <c:order val="0"/>
          <c:tx>
            <c:strRef>
              <c:f>'Runtimes_SPARQL1.0'!$B$3</c:f>
              <c:strCache>
                <c:ptCount val="1"/>
                <c:pt idx="0">
                  <c:v>FedX(cold)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'Runtimes_SPARQL1.0'!$B$4:$B$18</c:f>
              <c:numCache>
                <c:formatCode>0</c:formatCode>
                <c:ptCount val="15"/>
                <c:pt idx="0">
                  <c:v>430</c:v>
                </c:pt>
                <c:pt idx="1">
                  <c:v>330</c:v>
                </c:pt>
                <c:pt idx="2">
                  <c:v>500</c:v>
                </c:pt>
                <c:pt idx="3">
                  <c:v>540</c:v>
                </c:pt>
                <c:pt idx="4">
                  <c:v>478</c:v>
                </c:pt>
                <c:pt idx="5">
                  <c:v>1840</c:v>
                </c:pt>
                <c:pt idx="6">
                  <c:v>948</c:v>
                </c:pt>
                <c:pt idx="7">
                  <c:v>650</c:v>
                </c:pt>
                <c:pt idx="8">
                  <c:v>672</c:v>
                </c:pt>
                <c:pt idx="9">
                  <c:v>9585</c:v>
                </c:pt>
                <c:pt idx="10">
                  <c:v>343</c:v>
                </c:pt>
                <c:pt idx="11">
                  <c:v>4966</c:v>
                </c:pt>
                <c:pt idx="12">
                  <c:v>30233</c:v>
                </c:pt>
                <c:pt idx="13">
                  <c:v>12830</c:v>
                </c:pt>
                <c:pt idx="14" formatCode="0.00">
                  <c:v>4596.0714285714284</c:v>
                </c:pt>
              </c:numCache>
            </c:numRef>
          </c:val>
        </c:ser>
        <c:ser>
          <c:idx val="1"/>
          <c:order val="1"/>
          <c:tx>
            <c:strRef>
              <c:f>'Runtimes_SPARQL1.0'!$C$3</c:f>
              <c:strCache>
                <c:ptCount val="1"/>
                <c:pt idx="0">
                  <c:v>FedX(100% cached)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'Runtimes_SPARQL1.0'!$C$4:$C$18</c:f>
              <c:numCache>
                <c:formatCode>0</c:formatCode>
                <c:ptCount val="15"/>
                <c:pt idx="0">
                  <c:v>248</c:v>
                </c:pt>
                <c:pt idx="1">
                  <c:v>192</c:v>
                </c:pt>
                <c:pt idx="2">
                  <c:v>255</c:v>
                </c:pt>
                <c:pt idx="3">
                  <c:v>270</c:v>
                </c:pt>
                <c:pt idx="4">
                  <c:v>233</c:v>
                </c:pt>
                <c:pt idx="5">
                  <c:v>1789</c:v>
                </c:pt>
                <c:pt idx="6">
                  <c:v>745</c:v>
                </c:pt>
                <c:pt idx="7">
                  <c:v>393</c:v>
                </c:pt>
                <c:pt idx="8">
                  <c:v>490</c:v>
                </c:pt>
                <c:pt idx="9">
                  <c:v>9210</c:v>
                </c:pt>
                <c:pt idx="10">
                  <c:v>159</c:v>
                </c:pt>
                <c:pt idx="11">
                  <c:v>4711</c:v>
                </c:pt>
                <c:pt idx="12">
                  <c:v>30190</c:v>
                </c:pt>
                <c:pt idx="13">
                  <c:v>12727</c:v>
                </c:pt>
                <c:pt idx="14" formatCode="0.00">
                  <c:v>4400.8571428571431</c:v>
                </c:pt>
              </c:numCache>
            </c:numRef>
          </c:val>
        </c:ser>
        <c:ser>
          <c:idx val="2"/>
          <c:order val="2"/>
          <c:tx>
            <c:strRef>
              <c:f>'Runtimes_SPARQL1.0'!$D$3</c:f>
              <c:strCache>
                <c:ptCount val="1"/>
                <c:pt idx="0">
                  <c:v>SPLENDID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'Runtimes_SPARQL1.0'!$D$4:$D$18</c:f>
              <c:numCache>
                <c:formatCode>0</c:formatCode>
                <c:ptCount val="15"/>
                <c:pt idx="0">
                  <c:v>996</c:v>
                </c:pt>
                <c:pt idx="1">
                  <c:v>395</c:v>
                </c:pt>
                <c:pt idx="2">
                  <c:v>695</c:v>
                </c:pt>
                <c:pt idx="3">
                  <c:v>509</c:v>
                </c:pt>
                <c:pt idx="4">
                  <c:v>648</c:v>
                </c:pt>
                <c:pt idx="5">
                  <c:v>70131</c:v>
                </c:pt>
                <c:pt idx="6">
                  <c:v>8246</c:v>
                </c:pt>
                <c:pt idx="7">
                  <c:v>494</c:v>
                </c:pt>
                <c:pt idx="8">
                  <c:v>2640</c:v>
                </c:pt>
                <c:pt idx="9">
                  <c:v>17868</c:v>
                </c:pt>
                <c:pt idx="10">
                  <c:v>461</c:v>
                </c:pt>
                <c:pt idx="11">
                  <c:v>112396</c:v>
                </c:pt>
                <c:pt idx="12">
                  <c:v>6586</c:v>
                </c:pt>
                <c:pt idx="13">
                  <c:v>861731</c:v>
                </c:pt>
                <c:pt idx="14" formatCode="0.00">
                  <c:v>77414</c:v>
                </c:pt>
              </c:numCache>
            </c:numRef>
          </c:val>
        </c:ser>
        <c:ser>
          <c:idx val="3"/>
          <c:order val="3"/>
          <c:tx>
            <c:strRef>
              <c:f>'Runtimes_SPARQL1.0'!$E$3</c:f>
              <c:strCache>
                <c:ptCount val="1"/>
                <c:pt idx="0">
                  <c:v>ANAPSID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'Runtimes_SPARQL1.0'!$E$4:$E$18</c:f>
              <c:numCache>
                <c:formatCode>0</c:formatCode>
                <c:ptCount val="15"/>
                <c:pt idx="0">
                  <c:v>278</c:v>
                </c:pt>
                <c:pt idx="1">
                  <c:v>80</c:v>
                </c:pt>
                <c:pt idx="2">
                  <c:v>116</c:v>
                </c:pt>
                <c:pt idx="3">
                  <c:v>118</c:v>
                </c:pt>
                <c:pt idx="4">
                  <c:v>349</c:v>
                </c:pt>
                <c:pt idx="5">
                  <c:v>308514</c:v>
                </c:pt>
                <c:pt idx="6">
                  <c:v>298954</c:v>
                </c:pt>
                <c:pt idx="7">
                  <c:v>454</c:v>
                </c:pt>
                <c:pt idx="8">
                  <c:v>1024</c:v>
                </c:pt>
                <c:pt idx="9">
                  <c:v>18949</c:v>
                </c:pt>
                <c:pt idx="10">
                  <c:v>17496</c:v>
                </c:pt>
                <c:pt idx="11">
                  <c:v>5151</c:v>
                </c:pt>
                <c:pt idx="12">
                  <c:v>5845</c:v>
                </c:pt>
                <c:pt idx="13">
                  <c:v>3870</c:v>
                </c:pt>
                <c:pt idx="14" formatCode="0.00">
                  <c:v>47228.428571428572</c:v>
                </c:pt>
              </c:numCache>
            </c:numRef>
          </c:val>
        </c:ser>
        <c:ser>
          <c:idx val="4"/>
          <c:order val="4"/>
          <c:tx>
            <c:strRef>
              <c:f>'Runtimes_SPARQL1.0'!$F$3</c:f>
              <c:strCache>
                <c:ptCount val="1"/>
                <c:pt idx="0">
                  <c:v>FedX+HiBISCuS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'Runtimes_SPARQL1.0'!$F$4:$F$18</c:f>
              <c:numCache>
                <c:formatCode>0</c:formatCode>
                <c:ptCount val="15"/>
                <c:pt idx="0">
                  <c:v>240</c:v>
                </c:pt>
                <c:pt idx="1">
                  <c:v>199</c:v>
                </c:pt>
                <c:pt idx="2">
                  <c:v>180</c:v>
                </c:pt>
                <c:pt idx="3">
                  <c:v>300</c:v>
                </c:pt>
                <c:pt idx="4">
                  <c:v>229</c:v>
                </c:pt>
                <c:pt idx="5">
                  <c:v>1790</c:v>
                </c:pt>
                <c:pt idx="6">
                  <c:v>700</c:v>
                </c:pt>
                <c:pt idx="7">
                  <c:v>398</c:v>
                </c:pt>
                <c:pt idx="8">
                  <c:v>429</c:v>
                </c:pt>
                <c:pt idx="9">
                  <c:v>9288</c:v>
                </c:pt>
                <c:pt idx="10">
                  <c:v>165</c:v>
                </c:pt>
                <c:pt idx="11">
                  <c:v>4611</c:v>
                </c:pt>
                <c:pt idx="12">
                  <c:v>30100</c:v>
                </c:pt>
                <c:pt idx="13">
                  <c:v>12745</c:v>
                </c:pt>
                <c:pt idx="14" formatCode="0.00">
                  <c:v>4383.8571428571431</c:v>
                </c:pt>
              </c:numCache>
            </c:numRef>
          </c:val>
        </c:ser>
        <c:ser>
          <c:idx val="5"/>
          <c:order val="5"/>
          <c:tx>
            <c:strRef>
              <c:f>'Runtimes_SPARQL1.0'!$G$3</c:f>
              <c:strCache>
                <c:ptCount val="1"/>
                <c:pt idx="0">
                  <c:v>SPLENDID+HiBISCuS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'Runtimes_SPARQL1.0'!$G$4:$G$18</c:f>
              <c:numCache>
                <c:formatCode>0</c:formatCode>
                <c:ptCount val="15"/>
                <c:pt idx="0">
                  <c:v>270</c:v>
                </c:pt>
                <c:pt idx="1">
                  <c:v>169</c:v>
                </c:pt>
                <c:pt idx="2">
                  <c:v>503</c:v>
                </c:pt>
                <c:pt idx="3">
                  <c:v>313</c:v>
                </c:pt>
                <c:pt idx="4">
                  <c:v>340</c:v>
                </c:pt>
                <c:pt idx="5">
                  <c:v>36035</c:v>
                </c:pt>
                <c:pt idx="6">
                  <c:v>8221</c:v>
                </c:pt>
                <c:pt idx="7">
                  <c:v>310</c:v>
                </c:pt>
                <c:pt idx="8">
                  <c:v>1530</c:v>
                </c:pt>
                <c:pt idx="9">
                  <c:v>15130</c:v>
                </c:pt>
                <c:pt idx="10">
                  <c:v>470</c:v>
                </c:pt>
                <c:pt idx="11">
                  <c:v>97110</c:v>
                </c:pt>
                <c:pt idx="12">
                  <c:v>5820</c:v>
                </c:pt>
                <c:pt idx="13">
                  <c:v>751211</c:v>
                </c:pt>
                <c:pt idx="14" formatCode="0.00">
                  <c:v>65530.857142857145</c:v>
                </c:pt>
              </c:numCache>
            </c:numRef>
          </c:val>
        </c:ser>
        <c:dLbls>
          <c:showLegendKey val="0"/>
          <c:showVal val="0"/>
          <c:showCatName val="0"/>
          <c:showSerName val="0"/>
          <c:showPercent val="0"/>
          <c:showBubbleSize val="0"/>
        </c:dLbls>
        <c:gapWidth val="100"/>
        <c:overlap val="-24"/>
        <c:axId val="213895584"/>
        <c:axId val="216424416"/>
      </c:barChart>
      <c:catAx>
        <c:axId val="21389558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424416"/>
        <c:crosses val="autoZero"/>
        <c:auto val="1"/>
        <c:lblAlgn val="ctr"/>
        <c:lblOffset val="100"/>
        <c:noMultiLvlLbl val="0"/>
      </c:catAx>
      <c:valAx>
        <c:axId val="216424416"/>
        <c:scaling>
          <c:logBase val="10"/>
          <c:orientation val="minMax"/>
          <c:max val="10000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E">
                    <a:solidFill>
                      <a:schemeClr val="tx1"/>
                    </a:solidFill>
                  </a:rPr>
                  <a:t>Time - Log Scale (msec)</a:t>
                </a:r>
              </a:p>
            </c:rich>
          </c:tx>
          <c:layout>
            <c:manualLayout>
              <c:xMode val="edge"/>
              <c:yMode val="edge"/>
              <c:x val="2.9775816880113081E-3"/>
              <c:y val="0.244016674791945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895584"/>
        <c:crosses val="autoZero"/>
        <c:crossBetween val="between"/>
      </c:valAx>
      <c:spPr>
        <a:noFill/>
        <a:ln>
          <a:noFill/>
        </a:ln>
        <a:effectLst/>
      </c:spPr>
    </c:plotArea>
    <c:legend>
      <c:legendPos val="b"/>
      <c:layout>
        <c:manualLayout>
          <c:xMode val="edge"/>
          <c:yMode val="edge"/>
          <c:x val="0.15586239380238226"/>
          <c:y val="2.1819846362774602E-2"/>
          <c:w val="0.73859928840777245"/>
          <c:h val="7.088307999441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21770886428558E-2"/>
          <c:y val="3.3951868803096821E-2"/>
          <c:w val="0.91890075551033557"/>
          <c:h val="0.88182217480087555"/>
        </c:manualLayout>
      </c:layout>
      <c:barChart>
        <c:barDir val="col"/>
        <c:grouping val="clustered"/>
        <c:varyColors val="0"/>
        <c:ser>
          <c:idx val="0"/>
          <c:order val="0"/>
          <c:tx>
            <c:strRef>
              <c:f>'Runtimes_SPARQL1.0'!$B$3</c:f>
              <c:strCache>
                <c:ptCount val="1"/>
                <c:pt idx="0">
                  <c:v>FedX(cold)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'Runtimes_SPARQL1.0'!$B$21:$B$31</c:f>
              <c:numCache>
                <c:formatCode>0</c:formatCode>
                <c:ptCount val="11"/>
                <c:pt idx="0">
                  <c:v>0</c:v>
                </c:pt>
                <c:pt idx="1">
                  <c:v>4391</c:v>
                </c:pt>
                <c:pt idx="2">
                  <c:v>28416</c:v>
                </c:pt>
                <c:pt idx="3">
                  <c:v>922368</c:v>
                </c:pt>
                <c:pt idx="4">
                  <c:v>0</c:v>
                </c:pt>
                <c:pt idx="5">
                  <c:v>48530</c:v>
                </c:pt>
                <c:pt idx="6">
                  <c:v>2945</c:v>
                </c:pt>
                <c:pt idx="7">
                  <c:v>13457</c:v>
                </c:pt>
                <c:pt idx="8">
                  <c:v>0</c:v>
                </c:pt>
                <c:pt idx="9">
                  <c:v>8969</c:v>
                </c:pt>
                <c:pt idx="10" formatCode="0.00">
                  <c:v>428634.5</c:v>
                </c:pt>
              </c:numCache>
            </c:numRef>
          </c:val>
        </c:ser>
        <c:ser>
          <c:idx val="1"/>
          <c:order val="1"/>
          <c:tx>
            <c:strRef>
              <c:f>'Runtimes_SPARQL1.0'!$C$3</c:f>
              <c:strCache>
                <c:ptCount val="1"/>
                <c:pt idx="0">
                  <c:v>FedX(100% cached)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'Runtimes_SPARQL1.0'!$C$21:$C$31</c:f>
              <c:numCache>
                <c:formatCode>0</c:formatCode>
                <c:ptCount val="11"/>
                <c:pt idx="0">
                  <c:v>0</c:v>
                </c:pt>
                <c:pt idx="1">
                  <c:v>4106</c:v>
                </c:pt>
                <c:pt idx="2">
                  <c:v>28370</c:v>
                </c:pt>
                <c:pt idx="3">
                  <c:v>922276</c:v>
                </c:pt>
                <c:pt idx="4">
                  <c:v>0</c:v>
                </c:pt>
                <c:pt idx="5">
                  <c:v>48639</c:v>
                </c:pt>
                <c:pt idx="6">
                  <c:v>2645</c:v>
                </c:pt>
                <c:pt idx="7">
                  <c:v>13200</c:v>
                </c:pt>
                <c:pt idx="8">
                  <c:v>0</c:v>
                </c:pt>
                <c:pt idx="9">
                  <c:v>8738</c:v>
                </c:pt>
                <c:pt idx="10" formatCode="0.00">
                  <c:v>428496.75</c:v>
                </c:pt>
              </c:numCache>
            </c:numRef>
          </c:val>
        </c:ser>
        <c:ser>
          <c:idx val="2"/>
          <c:order val="2"/>
          <c:tx>
            <c:strRef>
              <c:f>'Runtimes_SPARQL1.0'!$D$3</c:f>
              <c:strCache>
                <c:ptCount val="1"/>
                <c:pt idx="0">
                  <c:v>SPLENDID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'Runtimes_SPARQL1.0'!$D$21:$D$31</c:f>
              <c:numCache>
                <c:formatCode>0</c:formatCode>
                <c:ptCount val="11"/>
                <c:pt idx="0">
                  <c:v>71415</c:v>
                </c:pt>
                <c:pt idx="1">
                  <c:v>98212</c:v>
                </c:pt>
                <c:pt idx="2">
                  <c:v>240171</c:v>
                </c:pt>
                <c:pt idx="3">
                  <c:v>0</c:v>
                </c:pt>
                <c:pt idx="4">
                  <c:v>0</c:v>
                </c:pt>
                <c:pt idx="5">
                  <c:v>46276</c:v>
                </c:pt>
                <c:pt idx="6">
                  <c:v>13517</c:v>
                </c:pt>
                <c:pt idx="7">
                  <c:v>99691</c:v>
                </c:pt>
                <c:pt idx="8">
                  <c:v>0</c:v>
                </c:pt>
                <c:pt idx="9">
                  <c:v>18680</c:v>
                </c:pt>
                <c:pt idx="10" formatCode="0.00">
                  <c:v>83994.571428571435</c:v>
                </c:pt>
              </c:numCache>
            </c:numRef>
          </c:val>
        </c:ser>
        <c:ser>
          <c:idx val="3"/>
          <c:order val="3"/>
          <c:tx>
            <c:strRef>
              <c:f>'Runtimes_SPARQL1.0'!$E$3</c:f>
              <c:strCache>
                <c:ptCount val="1"/>
                <c:pt idx="0">
                  <c:v>ANAPSID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'Runtimes_SPARQL1.0'!$E$21:$E$31</c:f>
              <c:numCache>
                <c:formatCode>0</c:formatCode>
                <c:ptCount val="11"/>
                <c:pt idx="0">
                  <c:v>10318</c:v>
                </c:pt>
                <c:pt idx="1">
                  <c:v>0</c:v>
                </c:pt>
                <c:pt idx="2">
                  <c:v>0</c:v>
                </c:pt>
                <c:pt idx="3">
                  <c:v>145615</c:v>
                </c:pt>
                <c:pt idx="4">
                  <c:v>0</c:v>
                </c:pt>
                <c:pt idx="5">
                  <c:v>19991</c:v>
                </c:pt>
                <c:pt idx="6">
                  <c:v>1348</c:v>
                </c:pt>
                <c:pt idx="7">
                  <c:v>2643</c:v>
                </c:pt>
                <c:pt idx="8">
                  <c:v>20658</c:v>
                </c:pt>
                <c:pt idx="9">
                  <c:v>38486</c:v>
                </c:pt>
                <c:pt idx="10" formatCode="0.00">
                  <c:v>374057.28571428574</c:v>
                </c:pt>
              </c:numCache>
            </c:numRef>
          </c:val>
        </c:ser>
        <c:ser>
          <c:idx val="4"/>
          <c:order val="4"/>
          <c:tx>
            <c:strRef>
              <c:f>'Runtimes_SPARQL1.0'!$F$3</c:f>
              <c:strCache>
                <c:ptCount val="1"/>
                <c:pt idx="0">
                  <c:v>FedX+HiBISCuS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'Runtimes_SPARQL1.0'!$F$21:$F$31</c:f>
              <c:numCache>
                <c:formatCode>0</c:formatCode>
                <c:ptCount val="11"/>
                <c:pt idx="0">
                  <c:v>0</c:v>
                </c:pt>
                <c:pt idx="1">
                  <c:v>4000</c:v>
                </c:pt>
                <c:pt idx="2">
                  <c:v>23703</c:v>
                </c:pt>
                <c:pt idx="3">
                  <c:v>902131</c:v>
                </c:pt>
                <c:pt idx="4">
                  <c:v>0</c:v>
                </c:pt>
                <c:pt idx="5">
                  <c:v>40719</c:v>
                </c:pt>
                <c:pt idx="6">
                  <c:v>2517</c:v>
                </c:pt>
                <c:pt idx="7">
                  <c:v>11012</c:v>
                </c:pt>
                <c:pt idx="8">
                  <c:v>0</c:v>
                </c:pt>
                <c:pt idx="9">
                  <c:v>8400</c:v>
                </c:pt>
                <c:pt idx="10" formatCode="0.00">
                  <c:v>786734.96</c:v>
                </c:pt>
              </c:numCache>
            </c:numRef>
          </c:val>
        </c:ser>
        <c:ser>
          <c:idx val="5"/>
          <c:order val="5"/>
          <c:tx>
            <c:strRef>
              <c:f>'Runtimes_SPARQL1.0'!$G$3</c:f>
              <c:strCache>
                <c:ptCount val="1"/>
                <c:pt idx="0">
                  <c:v>SPLENDID+HiBISCuS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'Runtimes_SPARQL1.0'!$A$21:$A$31</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'Runtimes_SPARQL1.0'!$G$21:$G$31</c:f>
              <c:numCache>
                <c:formatCode>0</c:formatCode>
                <c:ptCount val="11"/>
                <c:pt idx="0">
                  <c:v>65420</c:v>
                </c:pt>
                <c:pt idx="1">
                  <c:v>77121</c:v>
                </c:pt>
                <c:pt idx="2">
                  <c:v>126284</c:v>
                </c:pt>
                <c:pt idx="3">
                  <c:v>0</c:v>
                </c:pt>
                <c:pt idx="4">
                  <c:v>869922</c:v>
                </c:pt>
                <c:pt idx="5">
                  <c:v>28276</c:v>
                </c:pt>
                <c:pt idx="6">
                  <c:v>1860</c:v>
                </c:pt>
                <c:pt idx="7">
                  <c:v>10825</c:v>
                </c:pt>
                <c:pt idx="8">
                  <c:v>0</c:v>
                </c:pt>
                <c:pt idx="9">
                  <c:v>7319</c:v>
                </c:pt>
                <c:pt idx="10" formatCode="0.00">
                  <c:v>148378.375</c:v>
                </c:pt>
              </c:numCache>
            </c:numRef>
          </c:val>
        </c:ser>
        <c:dLbls>
          <c:showLegendKey val="0"/>
          <c:showVal val="0"/>
          <c:showCatName val="0"/>
          <c:showSerName val="0"/>
          <c:showPercent val="0"/>
          <c:showBubbleSize val="0"/>
        </c:dLbls>
        <c:gapWidth val="100"/>
        <c:overlap val="-24"/>
        <c:axId val="216430016"/>
        <c:axId val="216430576"/>
      </c:barChart>
      <c:catAx>
        <c:axId val="2164300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430576"/>
        <c:crosses val="autoZero"/>
        <c:auto val="1"/>
        <c:lblAlgn val="ctr"/>
        <c:lblOffset val="100"/>
        <c:noMultiLvlLbl val="0"/>
      </c:catAx>
      <c:valAx>
        <c:axId val="216430576"/>
        <c:scaling>
          <c:logBase val="10"/>
          <c:orientation val="minMax"/>
          <c:max val="100000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E">
                    <a:solidFill>
                      <a:schemeClr val="tx1"/>
                    </a:solidFill>
                  </a:rPr>
                  <a:t>Time - Log Scale (msec)</a:t>
                </a:r>
              </a:p>
            </c:rich>
          </c:tx>
          <c:layout>
            <c:manualLayout>
              <c:xMode val="edge"/>
              <c:yMode val="edge"/>
              <c:x val="1.3001080847755535E-3"/>
              <c:y val="0.244016674791945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6430016"/>
        <c:crosses val="autoZero"/>
        <c:crossBetween val="between"/>
      </c:valAx>
      <c:spPr>
        <a:noFill/>
        <a:ln>
          <a:noFill/>
        </a:ln>
        <a:effectLst/>
      </c:spPr>
    </c:plotArea>
    <c:legend>
      <c:legendPos val="b"/>
      <c:layout>
        <c:manualLayout>
          <c:xMode val="edge"/>
          <c:yMode val="edge"/>
          <c:x val="0.14076513137326047"/>
          <c:y val="5.1222992267865614E-2"/>
          <c:w val="0.73859928840777245"/>
          <c:h val="7.088307999441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47105424580001"/>
          <c:y val="5.0925925925925923E-2"/>
          <c:w val="0.86964142881979778"/>
          <c:h val="0.8416746864975212"/>
        </c:manualLayout>
      </c:layout>
      <c:barChart>
        <c:barDir val="col"/>
        <c:grouping val="clustered"/>
        <c:varyColors val="0"/>
        <c:ser>
          <c:idx val="0"/>
          <c:order val="0"/>
          <c:tx>
            <c:strRef>
              <c:f>Structural_Features!$O$4</c:f>
              <c:strCache>
                <c:ptCount val="1"/>
                <c:pt idx="0">
                  <c:v>FedBench</c:v>
                </c:pt>
              </c:strCache>
            </c:strRef>
          </c:tx>
          <c:spPr>
            <a:solidFill>
              <a:schemeClr val="accent1"/>
            </a:solidFill>
            <a:ln>
              <a:noFill/>
            </a:ln>
            <a:effectLst/>
          </c:spPr>
          <c:invertIfNegative val="0"/>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Structural_Features!$O$5:$O$36</c:f>
              <c:numCache>
                <c:formatCode>General</c:formatCode>
                <c:ptCount val="32"/>
                <c:pt idx="0">
                  <c:v>3</c:v>
                </c:pt>
                <c:pt idx="1">
                  <c:v>3</c:v>
                </c:pt>
                <c:pt idx="2">
                  <c:v>5</c:v>
                </c:pt>
                <c:pt idx="3">
                  <c:v>5</c:v>
                </c:pt>
                <c:pt idx="4">
                  <c:v>4</c:v>
                </c:pt>
                <c:pt idx="5">
                  <c:v>4</c:v>
                </c:pt>
                <c:pt idx="6">
                  <c:v>4</c:v>
                </c:pt>
                <c:pt idx="7">
                  <c:v>2</c:v>
                </c:pt>
                <c:pt idx="8">
                  <c:v>3</c:v>
                </c:pt>
                <c:pt idx="9">
                  <c:v>5</c:v>
                </c:pt>
                <c:pt idx="10">
                  <c:v>7</c:v>
                </c:pt>
                <c:pt idx="11">
                  <c:v>6</c:v>
                </c:pt>
                <c:pt idx="12">
                  <c:v>5</c:v>
                </c:pt>
                <c:pt idx="13">
                  <c:v>5</c:v>
                </c:pt>
              </c:numCache>
            </c:numRef>
          </c:val>
        </c:ser>
        <c:dLbls>
          <c:showLegendKey val="0"/>
          <c:showVal val="0"/>
          <c:showCatName val="0"/>
          <c:showSerName val="0"/>
          <c:showPercent val="0"/>
          <c:showBubbleSize val="0"/>
        </c:dLbls>
        <c:gapWidth val="150"/>
        <c:axId val="214465872"/>
        <c:axId val="214466432"/>
      </c:barChart>
      <c:lineChart>
        <c:grouping val="standard"/>
        <c:varyColors val="0"/>
        <c:ser>
          <c:idx val="1"/>
          <c:order val="1"/>
          <c:tx>
            <c:strRef>
              <c:f>Structural_Features!$P$4</c:f>
              <c:strCache>
                <c:ptCount val="1"/>
                <c:pt idx="0">
                  <c:v>FedBench-Mean</c:v>
                </c:pt>
              </c:strCache>
            </c:strRef>
          </c:tx>
          <c:spPr>
            <a:ln w="22225" cap="rnd">
              <a:solidFill>
                <a:schemeClr val="accent2"/>
              </a:solidFill>
              <a:prstDash val="sys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Structural_Features!$P$5:$P$36</c:f>
              <c:numCache>
                <c:formatCode>General</c:formatCode>
                <c:ptCount val="32"/>
                <c:pt idx="0">
                  <c:v>4.3571428571428568</c:v>
                </c:pt>
                <c:pt idx="1">
                  <c:v>4.3571428571428568</c:v>
                </c:pt>
                <c:pt idx="2">
                  <c:v>4.3571428571428568</c:v>
                </c:pt>
                <c:pt idx="3">
                  <c:v>4.3571428571428568</c:v>
                </c:pt>
                <c:pt idx="4">
                  <c:v>4.3571428571428568</c:v>
                </c:pt>
                <c:pt idx="5">
                  <c:v>4.3571428571428568</c:v>
                </c:pt>
                <c:pt idx="6">
                  <c:v>4.3571428571428568</c:v>
                </c:pt>
                <c:pt idx="7">
                  <c:v>4.3571428571428568</c:v>
                </c:pt>
                <c:pt idx="8">
                  <c:v>4.3571428571428568</c:v>
                </c:pt>
                <c:pt idx="9">
                  <c:v>4.3571428571428568</c:v>
                </c:pt>
                <c:pt idx="10">
                  <c:v>4.3571428571428568</c:v>
                </c:pt>
                <c:pt idx="11">
                  <c:v>4.3571428571428568</c:v>
                </c:pt>
                <c:pt idx="12">
                  <c:v>4.3571428571428568</c:v>
                </c:pt>
                <c:pt idx="13">
                  <c:v>4.3571428571428568</c:v>
                </c:pt>
              </c:numCache>
            </c:numRef>
          </c:val>
          <c:smooth val="0"/>
        </c:ser>
        <c:ser>
          <c:idx val="2"/>
          <c:order val="2"/>
          <c:tx>
            <c:strRef>
              <c:f>Structural_Features!$Q$4</c:f>
              <c:strCache>
                <c:ptCount val="1"/>
                <c:pt idx="0">
                  <c:v>LargeRDFBench</c:v>
                </c:pt>
              </c:strCache>
            </c:strRef>
          </c:tx>
          <c:spPr>
            <a:ln w="22225" cap="sq">
              <a:solidFill>
                <a:schemeClr val="accent3"/>
              </a:solidFill>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Structural_Features!$Q$5:$Q$36</c:f>
              <c:numCache>
                <c:formatCode>General</c:formatCode>
                <c:ptCount val="32"/>
                <c:pt idx="0">
                  <c:v>3</c:v>
                </c:pt>
                <c:pt idx="1">
                  <c:v>3</c:v>
                </c:pt>
                <c:pt idx="2">
                  <c:v>5</c:v>
                </c:pt>
                <c:pt idx="3">
                  <c:v>5</c:v>
                </c:pt>
                <c:pt idx="4">
                  <c:v>4</c:v>
                </c:pt>
                <c:pt idx="5">
                  <c:v>4</c:v>
                </c:pt>
                <c:pt idx="6">
                  <c:v>4</c:v>
                </c:pt>
                <c:pt idx="7">
                  <c:v>2</c:v>
                </c:pt>
                <c:pt idx="8">
                  <c:v>3</c:v>
                </c:pt>
                <c:pt idx="9">
                  <c:v>5</c:v>
                </c:pt>
                <c:pt idx="10">
                  <c:v>7</c:v>
                </c:pt>
                <c:pt idx="11">
                  <c:v>6</c:v>
                </c:pt>
                <c:pt idx="12">
                  <c:v>5</c:v>
                </c:pt>
                <c:pt idx="13">
                  <c:v>5</c:v>
                </c:pt>
                <c:pt idx="14">
                  <c:v>8</c:v>
                </c:pt>
                <c:pt idx="15">
                  <c:v>8</c:v>
                </c:pt>
                <c:pt idx="16">
                  <c:v>8</c:v>
                </c:pt>
                <c:pt idx="17">
                  <c:v>12</c:v>
                </c:pt>
                <c:pt idx="18">
                  <c:v>8</c:v>
                </c:pt>
                <c:pt idx="19">
                  <c:v>9</c:v>
                </c:pt>
                <c:pt idx="20">
                  <c:v>9</c:v>
                </c:pt>
                <c:pt idx="21">
                  <c:v>11</c:v>
                </c:pt>
                <c:pt idx="22">
                  <c:v>9</c:v>
                </c:pt>
                <c:pt idx="23">
                  <c:v>10</c:v>
                </c:pt>
                <c:pt idx="24">
                  <c:v>6</c:v>
                </c:pt>
                <c:pt idx="25">
                  <c:v>6</c:v>
                </c:pt>
                <c:pt idx="26">
                  <c:v>7</c:v>
                </c:pt>
                <c:pt idx="27">
                  <c:v>8</c:v>
                </c:pt>
                <c:pt idx="28">
                  <c:v>11</c:v>
                </c:pt>
                <c:pt idx="29">
                  <c:v>10</c:v>
                </c:pt>
                <c:pt idx="30">
                  <c:v>5</c:v>
                </c:pt>
                <c:pt idx="31">
                  <c:v>8</c:v>
                </c:pt>
              </c:numCache>
            </c:numRef>
          </c:val>
          <c:smooth val="0"/>
        </c:ser>
        <c:ser>
          <c:idx val="3"/>
          <c:order val="3"/>
          <c:tx>
            <c:strRef>
              <c:f>Structural_Features!$R$4</c:f>
              <c:strCache>
                <c:ptCount val="1"/>
                <c:pt idx="0">
                  <c:v>LargeRDFBench-Mean</c:v>
                </c:pt>
              </c:strCache>
            </c:strRef>
          </c:tx>
          <c:spPr>
            <a:ln w="22225" cap="rnd">
              <a:solidFill>
                <a:schemeClr val="accent4"/>
              </a:solidFill>
              <a:prstDash val="lg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Structural_Features!$R$5:$R$36</c:f>
              <c:numCache>
                <c:formatCode>General</c:formatCode>
                <c:ptCount val="32"/>
                <c:pt idx="0">
                  <c:v>6.6875</c:v>
                </c:pt>
                <c:pt idx="1">
                  <c:v>6.6875</c:v>
                </c:pt>
                <c:pt idx="2">
                  <c:v>6.6875</c:v>
                </c:pt>
                <c:pt idx="3">
                  <c:v>6.6875</c:v>
                </c:pt>
                <c:pt idx="4">
                  <c:v>6.6875</c:v>
                </c:pt>
                <c:pt idx="5">
                  <c:v>6.6875</c:v>
                </c:pt>
                <c:pt idx="6">
                  <c:v>6.6875</c:v>
                </c:pt>
                <c:pt idx="7">
                  <c:v>6.6875</c:v>
                </c:pt>
                <c:pt idx="8">
                  <c:v>6.6875</c:v>
                </c:pt>
                <c:pt idx="9">
                  <c:v>6.6875</c:v>
                </c:pt>
                <c:pt idx="10">
                  <c:v>6.6875</c:v>
                </c:pt>
                <c:pt idx="11">
                  <c:v>6.6875</c:v>
                </c:pt>
                <c:pt idx="12">
                  <c:v>6.6875</c:v>
                </c:pt>
                <c:pt idx="13">
                  <c:v>6.6875</c:v>
                </c:pt>
                <c:pt idx="14">
                  <c:v>6.6875</c:v>
                </c:pt>
                <c:pt idx="15">
                  <c:v>6.6875</c:v>
                </c:pt>
                <c:pt idx="16">
                  <c:v>6.6875</c:v>
                </c:pt>
                <c:pt idx="17">
                  <c:v>6.6875</c:v>
                </c:pt>
                <c:pt idx="18">
                  <c:v>6.6875</c:v>
                </c:pt>
                <c:pt idx="19">
                  <c:v>6.6875</c:v>
                </c:pt>
                <c:pt idx="20">
                  <c:v>6.6875</c:v>
                </c:pt>
                <c:pt idx="21">
                  <c:v>6.6875</c:v>
                </c:pt>
                <c:pt idx="22">
                  <c:v>6.6875</c:v>
                </c:pt>
                <c:pt idx="23">
                  <c:v>6.6875</c:v>
                </c:pt>
                <c:pt idx="24">
                  <c:v>6.6875</c:v>
                </c:pt>
                <c:pt idx="25">
                  <c:v>6.6875</c:v>
                </c:pt>
                <c:pt idx="26">
                  <c:v>6.6875</c:v>
                </c:pt>
                <c:pt idx="27">
                  <c:v>6.6875</c:v>
                </c:pt>
                <c:pt idx="28">
                  <c:v>6.6875</c:v>
                </c:pt>
                <c:pt idx="29">
                  <c:v>6.6875</c:v>
                </c:pt>
                <c:pt idx="30">
                  <c:v>6.6875</c:v>
                </c:pt>
                <c:pt idx="31">
                  <c:v>6.6875</c:v>
                </c:pt>
              </c:numCache>
            </c:numRef>
          </c:val>
          <c:smooth val="0"/>
        </c:ser>
        <c:dLbls>
          <c:showLegendKey val="0"/>
          <c:showVal val="0"/>
          <c:showCatName val="0"/>
          <c:showSerName val="0"/>
          <c:showPercent val="0"/>
          <c:showBubbleSize val="0"/>
        </c:dLbls>
        <c:marker val="1"/>
        <c:smooth val="0"/>
        <c:axId val="214465872"/>
        <c:axId val="214466432"/>
      </c:lineChart>
      <c:catAx>
        <c:axId val="2144658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4466432"/>
        <c:crosses val="autoZero"/>
        <c:auto val="1"/>
        <c:lblAlgn val="ctr"/>
        <c:lblOffset val="100"/>
        <c:noMultiLvlLbl val="0"/>
      </c:catAx>
      <c:valAx>
        <c:axId val="21446643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#Triple Patterns</a:t>
                </a:r>
              </a:p>
            </c:rich>
          </c:tx>
          <c:layout>
            <c:manualLayout>
              <c:xMode val="edge"/>
              <c:yMode val="edge"/>
              <c:x val="2.612916311927279E-3"/>
              <c:y val="0.328928799865865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46587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2.2678637691026449E-2"/>
          <c:y val="5.180391409375993E-2"/>
          <c:w val="0.61932350774575562"/>
          <c:h val="0.265241325576326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9895817901218"/>
          <c:y val="5.0925925925925923E-2"/>
          <c:w val="0.84151804201579705"/>
          <c:h val="0.8416746864975212"/>
        </c:manualLayout>
      </c:layout>
      <c:barChart>
        <c:barDir val="col"/>
        <c:grouping val="clustered"/>
        <c:varyColors val="0"/>
        <c:ser>
          <c:idx val="0"/>
          <c:order val="0"/>
          <c:tx>
            <c:strRef>
              <c:f>Structural_Features!$U$4</c:f>
              <c:strCache>
                <c:ptCount val="1"/>
                <c:pt idx="0">
                  <c:v>FedBench</c:v>
                </c:pt>
              </c:strCache>
            </c:strRef>
          </c:tx>
          <c:spPr>
            <a:solidFill>
              <a:schemeClr val="accent1"/>
            </a:solidFill>
            <a:ln>
              <a:noFill/>
            </a:ln>
            <a:effectLst/>
          </c:spPr>
          <c:invertIfNegative val="0"/>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Structural_Features!$U$5:$U$36</c:f>
              <c:numCache>
                <c:formatCode>General</c:formatCode>
                <c:ptCount val="32"/>
                <c:pt idx="0">
                  <c:v>8</c:v>
                </c:pt>
                <c:pt idx="1">
                  <c:v>7</c:v>
                </c:pt>
                <c:pt idx="2">
                  <c:v>11</c:v>
                </c:pt>
                <c:pt idx="3">
                  <c:v>10</c:v>
                </c:pt>
                <c:pt idx="4">
                  <c:v>9</c:v>
                </c:pt>
                <c:pt idx="5">
                  <c:v>9</c:v>
                </c:pt>
                <c:pt idx="6">
                  <c:v>9</c:v>
                </c:pt>
                <c:pt idx="7">
                  <c:v>6</c:v>
                </c:pt>
                <c:pt idx="8">
                  <c:v>8</c:v>
                </c:pt>
                <c:pt idx="9">
                  <c:v>11</c:v>
                </c:pt>
                <c:pt idx="10">
                  <c:v>15</c:v>
                </c:pt>
                <c:pt idx="11">
                  <c:v>13</c:v>
                </c:pt>
                <c:pt idx="12">
                  <c:v>11</c:v>
                </c:pt>
                <c:pt idx="13">
                  <c:v>12</c:v>
                </c:pt>
              </c:numCache>
            </c:numRef>
          </c:val>
        </c:ser>
        <c:dLbls>
          <c:showLegendKey val="0"/>
          <c:showVal val="0"/>
          <c:showCatName val="0"/>
          <c:showSerName val="0"/>
          <c:showPercent val="0"/>
          <c:showBubbleSize val="0"/>
        </c:dLbls>
        <c:gapWidth val="150"/>
        <c:axId val="212598144"/>
        <c:axId val="212598704"/>
      </c:barChart>
      <c:lineChart>
        <c:grouping val="standard"/>
        <c:varyColors val="0"/>
        <c:ser>
          <c:idx val="1"/>
          <c:order val="1"/>
          <c:tx>
            <c:strRef>
              <c:f>Structural_Features!$V$4</c:f>
              <c:strCache>
                <c:ptCount val="1"/>
                <c:pt idx="0">
                  <c:v>FedBench-Mean</c:v>
                </c:pt>
              </c:strCache>
            </c:strRef>
          </c:tx>
          <c:spPr>
            <a:ln w="22225" cap="rnd">
              <a:solidFill>
                <a:schemeClr val="accent2"/>
              </a:solidFill>
              <a:prstDash val="sys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Structural_Features!$V$5:$V$36</c:f>
              <c:numCache>
                <c:formatCode>General</c:formatCode>
                <c:ptCount val="32"/>
                <c:pt idx="0">
                  <c:v>9.9285714285714288</c:v>
                </c:pt>
                <c:pt idx="1">
                  <c:v>9.9285714285714288</c:v>
                </c:pt>
                <c:pt idx="2">
                  <c:v>9.9285714285714288</c:v>
                </c:pt>
                <c:pt idx="3">
                  <c:v>9.9285714285714288</c:v>
                </c:pt>
                <c:pt idx="4">
                  <c:v>9.9285714285714288</c:v>
                </c:pt>
                <c:pt idx="5">
                  <c:v>9.9285714285714288</c:v>
                </c:pt>
                <c:pt idx="6">
                  <c:v>9.9285714285714288</c:v>
                </c:pt>
                <c:pt idx="7">
                  <c:v>9.9285714285714288</c:v>
                </c:pt>
                <c:pt idx="8">
                  <c:v>9.9285714285714288</c:v>
                </c:pt>
                <c:pt idx="9">
                  <c:v>9.9285714285714288</c:v>
                </c:pt>
                <c:pt idx="10">
                  <c:v>9.9285714285714288</c:v>
                </c:pt>
                <c:pt idx="11">
                  <c:v>9.9285714285714288</c:v>
                </c:pt>
                <c:pt idx="12">
                  <c:v>9.9285714285714288</c:v>
                </c:pt>
                <c:pt idx="13">
                  <c:v>9.9285714285714288</c:v>
                </c:pt>
              </c:numCache>
            </c:numRef>
          </c:val>
          <c:smooth val="0"/>
        </c:ser>
        <c:ser>
          <c:idx val="2"/>
          <c:order val="2"/>
          <c:tx>
            <c:strRef>
              <c:f>Structural_Features!$W$4</c:f>
              <c:strCache>
                <c:ptCount val="1"/>
                <c:pt idx="0">
                  <c:v>LargeRDFBench</c:v>
                </c:pt>
              </c:strCache>
            </c:strRef>
          </c:tx>
          <c:spPr>
            <a:ln w="22225" cap="sq">
              <a:solidFill>
                <a:schemeClr val="accent3"/>
              </a:solidFill>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Structural_Features!$W$5:$W$36</c:f>
              <c:numCache>
                <c:formatCode>General</c:formatCode>
                <c:ptCount val="32"/>
                <c:pt idx="0">
                  <c:v>8</c:v>
                </c:pt>
                <c:pt idx="1">
                  <c:v>7</c:v>
                </c:pt>
                <c:pt idx="2">
                  <c:v>11</c:v>
                </c:pt>
                <c:pt idx="3">
                  <c:v>10</c:v>
                </c:pt>
                <c:pt idx="4">
                  <c:v>9</c:v>
                </c:pt>
                <c:pt idx="5">
                  <c:v>9</c:v>
                </c:pt>
                <c:pt idx="6">
                  <c:v>9</c:v>
                </c:pt>
                <c:pt idx="7">
                  <c:v>6</c:v>
                </c:pt>
                <c:pt idx="8">
                  <c:v>8</c:v>
                </c:pt>
                <c:pt idx="9">
                  <c:v>11</c:v>
                </c:pt>
                <c:pt idx="10">
                  <c:v>15</c:v>
                </c:pt>
                <c:pt idx="11">
                  <c:v>13</c:v>
                </c:pt>
                <c:pt idx="12">
                  <c:v>11</c:v>
                </c:pt>
                <c:pt idx="13">
                  <c:v>12</c:v>
                </c:pt>
                <c:pt idx="14">
                  <c:v>18</c:v>
                </c:pt>
                <c:pt idx="15">
                  <c:v>19</c:v>
                </c:pt>
                <c:pt idx="16">
                  <c:v>18</c:v>
                </c:pt>
                <c:pt idx="17">
                  <c:v>26</c:v>
                </c:pt>
                <c:pt idx="18">
                  <c:v>17</c:v>
                </c:pt>
                <c:pt idx="19">
                  <c:v>18</c:v>
                </c:pt>
                <c:pt idx="20">
                  <c:v>19</c:v>
                </c:pt>
                <c:pt idx="21">
                  <c:v>24</c:v>
                </c:pt>
                <c:pt idx="22">
                  <c:v>20</c:v>
                </c:pt>
                <c:pt idx="23">
                  <c:v>21</c:v>
                </c:pt>
                <c:pt idx="24">
                  <c:v>14</c:v>
                </c:pt>
                <c:pt idx="25">
                  <c:v>13</c:v>
                </c:pt>
                <c:pt idx="26">
                  <c:v>15</c:v>
                </c:pt>
                <c:pt idx="27">
                  <c:v>18</c:v>
                </c:pt>
                <c:pt idx="28">
                  <c:v>22</c:v>
                </c:pt>
                <c:pt idx="29">
                  <c:v>20</c:v>
                </c:pt>
                <c:pt idx="30">
                  <c:v>11</c:v>
                </c:pt>
                <c:pt idx="31">
                  <c:v>18</c:v>
                </c:pt>
              </c:numCache>
            </c:numRef>
          </c:val>
          <c:smooth val="0"/>
        </c:ser>
        <c:ser>
          <c:idx val="3"/>
          <c:order val="3"/>
          <c:tx>
            <c:strRef>
              <c:f>Structural_Features!$X$4</c:f>
              <c:strCache>
                <c:ptCount val="1"/>
                <c:pt idx="0">
                  <c:v>LargeRDFBench-Mean</c:v>
                </c:pt>
              </c:strCache>
            </c:strRef>
          </c:tx>
          <c:spPr>
            <a:ln w="22225" cap="rnd">
              <a:solidFill>
                <a:schemeClr val="accent4"/>
              </a:solidFill>
              <a:prstDash val="lg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Structural_Features!$X$5:$X$36</c:f>
              <c:numCache>
                <c:formatCode>General</c:formatCode>
                <c:ptCount val="32"/>
                <c:pt idx="0">
                  <c:v>14.6875</c:v>
                </c:pt>
                <c:pt idx="1">
                  <c:v>14.6875</c:v>
                </c:pt>
                <c:pt idx="2">
                  <c:v>14.6875</c:v>
                </c:pt>
                <c:pt idx="3">
                  <c:v>14.6875</c:v>
                </c:pt>
                <c:pt idx="4">
                  <c:v>14.6875</c:v>
                </c:pt>
                <c:pt idx="5">
                  <c:v>14.6875</c:v>
                </c:pt>
                <c:pt idx="6">
                  <c:v>14.6875</c:v>
                </c:pt>
                <c:pt idx="7">
                  <c:v>14.6875</c:v>
                </c:pt>
                <c:pt idx="8">
                  <c:v>14.6875</c:v>
                </c:pt>
                <c:pt idx="9">
                  <c:v>14.6875</c:v>
                </c:pt>
                <c:pt idx="10">
                  <c:v>14.6875</c:v>
                </c:pt>
                <c:pt idx="11">
                  <c:v>14.6875</c:v>
                </c:pt>
                <c:pt idx="12">
                  <c:v>14.6875</c:v>
                </c:pt>
                <c:pt idx="13">
                  <c:v>14.6875</c:v>
                </c:pt>
                <c:pt idx="14">
                  <c:v>14.6875</c:v>
                </c:pt>
                <c:pt idx="15">
                  <c:v>14.6875</c:v>
                </c:pt>
                <c:pt idx="16">
                  <c:v>14.6875</c:v>
                </c:pt>
                <c:pt idx="17">
                  <c:v>14.6875</c:v>
                </c:pt>
                <c:pt idx="18">
                  <c:v>14.6875</c:v>
                </c:pt>
                <c:pt idx="19">
                  <c:v>14.6875</c:v>
                </c:pt>
                <c:pt idx="20">
                  <c:v>14.6875</c:v>
                </c:pt>
                <c:pt idx="21">
                  <c:v>14.6875</c:v>
                </c:pt>
                <c:pt idx="22">
                  <c:v>14.6875</c:v>
                </c:pt>
                <c:pt idx="23">
                  <c:v>14.6875</c:v>
                </c:pt>
                <c:pt idx="24">
                  <c:v>14.6875</c:v>
                </c:pt>
                <c:pt idx="25">
                  <c:v>14.6875</c:v>
                </c:pt>
                <c:pt idx="26">
                  <c:v>14.6875</c:v>
                </c:pt>
                <c:pt idx="27">
                  <c:v>14.6875</c:v>
                </c:pt>
                <c:pt idx="28">
                  <c:v>14.6875</c:v>
                </c:pt>
                <c:pt idx="29">
                  <c:v>14.6875</c:v>
                </c:pt>
                <c:pt idx="30">
                  <c:v>14.6875</c:v>
                </c:pt>
                <c:pt idx="31">
                  <c:v>14.6875</c:v>
                </c:pt>
              </c:numCache>
            </c:numRef>
          </c:val>
          <c:smooth val="0"/>
        </c:ser>
        <c:dLbls>
          <c:showLegendKey val="0"/>
          <c:showVal val="0"/>
          <c:showCatName val="0"/>
          <c:showSerName val="0"/>
          <c:showPercent val="0"/>
          <c:showBubbleSize val="0"/>
        </c:dLbls>
        <c:marker val="1"/>
        <c:smooth val="0"/>
        <c:axId val="212598144"/>
        <c:axId val="212598704"/>
      </c:lineChart>
      <c:catAx>
        <c:axId val="2125981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2598704"/>
        <c:crosses val="autoZero"/>
        <c:auto val="1"/>
        <c:lblAlgn val="ctr"/>
        <c:lblOffset val="100"/>
        <c:noMultiLvlLbl val="0"/>
      </c:catAx>
      <c:valAx>
        <c:axId val="21259870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#Vertices</a:t>
                </a:r>
              </a:p>
            </c:rich>
          </c:tx>
          <c:layout>
            <c:manualLayout>
              <c:xMode val="edge"/>
              <c:yMode val="edge"/>
              <c:x val="2.612916311927279E-3"/>
              <c:y val="0.328928799865865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98144"/>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2552552989735632"/>
          <c:y val="5.180375639624421E-2"/>
          <c:w val="0.40979779503971425"/>
          <c:h val="0.2858950394952555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9895817901218"/>
          <c:y val="5.0925925925925923E-2"/>
          <c:w val="0.84151804201579705"/>
          <c:h val="0.8416746864975212"/>
        </c:manualLayout>
      </c:layout>
      <c:barChart>
        <c:barDir val="col"/>
        <c:grouping val="clustered"/>
        <c:varyColors val="0"/>
        <c:ser>
          <c:idx val="0"/>
          <c:order val="0"/>
          <c:tx>
            <c:strRef>
              <c:f>Structural_Features!$AA$4</c:f>
              <c:strCache>
                <c:ptCount val="1"/>
                <c:pt idx="0">
                  <c:v>FedBench</c:v>
                </c:pt>
              </c:strCache>
            </c:strRef>
          </c:tx>
          <c:spPr>
            <a:solidFill>
              <a:schemeClr val="accent1"/>
            </a:solidFill>
            <a:ln>
              <a:noFill/>
            </a:ln>
            <a:effectLst/>
          </c:spPr>
          <c:invertIfNegative val="0"/>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Structural_Features!$AA$5:$AA$36</c:f>
              <c:numCache>
                <c:formatCode>General</c:formatCode>
                <c:ptCount val="32"/>
                <c:pt idx="0">
                  <c:v>1</c:v>
                </c:pt>
                <c:pt idx="1">
                  <c:v>2</c:v>
                </c:pt>
                <c:pt idx="2">
                  <c:v>2</c:v>
                </c:pt>
                <c:pt idx="3">
                  <c:v>5</c:v>
                </c:pt>
                <c:pt idx="4">
                  <c:v>3</c:v>
                </c:pt>
                <c:pt idx="5">
                  <c:v>3</c:v>
                </c:pt>
                <c:pt idx="6">
                  <c:v>3</c:v>
                </c:pt>
                <c:pt idx="7">
                  <c:v>0</c:v>
                </c:pt>
                <c:pt idx="8">
                  <c:v>1</c:v>
                </c:pt>
                <c:pt idx="9">
                  <c:v>3</c:v>
                </c:pt>
                <c:pt idx="10">
                  <c:v>4</c:v>
                </c:pt>
                <c:pt idx="11">
                  <c:v>4</c:v>
                </c:pt>
                <c:pt idx="12">
                  <c:v>3</c:v>
                </c:pt>
                <c:pt idx="13">
                  <c:v>3</c:v>
                </c:pt>
              </c:numCache>
            </c:numRef>
          </c:val>
        </c:ser>
        <c:dLbls>
          <c:showLegendKey val="0"/>
          <c:showVal val="0"/>
          <c:showCatName val="0"/>
          <c:showSerName val="0"/>
          <c:showPercent val="0"/>
          <c:showBubbleSize val="0"/>
        </c:dLbls>
        <c:gapWidth val="150"/>
        <c:axId val="212603184"/>
        <c:axId val="212603744"/>
      </c:barChart>
      <c:lineChart>
        <c:grouping val="standard"/>
        <c:varyColors val="0"/>
        <c:ser>
          <c:idx val="1"/>
          <c:order val="1"/>
          <c:tx>
            <c:strRef>
              <c:f>Structural_Features!$AB$4</c:f>
              <c:strCache>
                <c:ptCount val="1"/>
                <c:pt idx="0">
                  <c:v>FedBench-Mean</c:v>
                </c:pt>
              </c:strCache>
            </c:strRef>
          </c:tx>
          <c:spPr>
            <a:ln w="22225" cap="rnd">
              <a:solidFill>
                <a:schemeClr val="accent2"/>
              </a:solidFill>
              <a:prstDash val="sys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Structural_Features!$AB$5:$AB$36</c:f>
              <c:numCache>
                <c:formatCode>General</c:formatCode>
                <c:ptCount val="32"/>
                <c:pt idx="0">
                  <c:v>2.6428571428571428</c:v>
                </c:pt>
                <c:pt idx="1">
                  <c:v>2.6428571428571428</c:v>
                </c:pt>
                <c:pt idx="2">
                  <c:v>2.6428571428571428</c:v>
                </c:pt>
                <c:pt idx="3">
                  <c:v>2.6428571428571428</c:v>
                </c:pt>
                <c:pt idx="4">
                  <c:v>2.6428571428571428</c:v>
                </c:pt>
                <c:pt idx="5">
                  <c:v>2.6428571428571428</c:v>
                </c:pt>
                <c:pt idx="6">
                  <c:v>2.6428571428571428</c:v>
                </c:pt>
                <c:pt idx="7">
                  <c:v>2.6428571428571428</c:v>
                </c:pt>
                <c:pt idx="8">
                  <c:v>2.6428571428571428</c:v>
                </c:pt>
                <c:pt idx="9">
                  <c:v>2.6428571428571428</c:v>
                </c:pt>
                <c:pt idx="10">
                  <c:v>2.6428571428571428</c:v>
                </c:pt>
                <c:pt idx="11">
                  <c:v>2.6428571428571428</c:v>
                </c:pt>
                <c:pt idx="12">
                  <c:v>2.6428571428571428</c:v>
                </c:pt>
                <c:pt idx="13">
                  <c:v>2.6428571428571428</c:v>
                </c:pt>
              </c:numCache>
            </c:numRef>
          </c:val>
          <c:smooth val="0"/>
        </c:ser>
        <c:ser>
          <c:idx val="2"/>
          <c:order val="2"/>
          <c:tx>
            <c:strRef>
              <c:f>Structural_Features!$AC$4</c:f>
              <c:strCache>
                <c:ptCount val="1"/>
                <c:pt idx="0">
                  <c:v>LargeRDFBench</c:v>
                </c:pt>
              </c:strCache>
            </c:strRef>
          </c:tx>
          <c:spPr>
            <a:ln w="22225" cap="sq">
              <a:solidFill>
                <a:schemeClr val="accent3"/>
              </a:solidFill>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Structural_Features!$AC$5:$AC$36</c:f>
              <c:numCache>
                <c:formatCode>General</c:formatCode>
                <c:ptCount val="32"/>
                <c:pt idx="0">
                  <c:v>1</c:v>
                </c:pt>
                <c:pt idx="1">
                  <c:v>2</c:v>
                </c:pt>
                <c:pt idx="2">
                  <c:v>2</c:v>
                </c:pt>
                <c:pt idx="3">
                  <c:v>5</c:v>
                </c:pt>
                <c:pt idx="4">
                  <c:v>3</c:v>
                </c:pt>
                <c:pt idx="5">
                  <c:v>3</c:v>
                </c:pt>
                <c:pt idx="6">
                  <c:v>3</c:v>
                </c:pt>
                <c:pt idx="7">
                  <c:v>0</c:v>
                </c:pt>
                <c:pt idx="8">
                  <c:v>1</c:v>
                </c:pt>
                <c:pt idx="9">
                  <c:v>3</c:v>
                </c:pt>
                <c:pt idx="10">
                  <c:v>4</c:v>
                </c:pt>
                <c:pt idx="11">
                  <c:v>4</c:v>
                </c:pt>
                <c:pt idx="12">
                  <c:v>3</c:v>
                </c:pt>
                <c:pt idx="13">
                  <c:v>3</c:v>
                </c:pt>
                <c:pt idx="14">
                  <c:v>4</c:v>
                </c:pt>
                <c:pt idx="15">
                  <c:v>4</c:v>
                </c:pt>
                <c:pt idx="16">
                  <c:v>4</c:v>
                </c:pt>
                <c:pt idx="17">
                  <c:v>2</c:v>
                </c:pt>
                <c:pt idx="18">
                  <c:v>5</c:v>
                </c:pt>
                <c:pt idx="19">
                  <c:v>5</c:v>
                </c:pt>
                <c:pt idx="20">
                  <c:v>6</c:v>
                </c:pt>
                <c:pt idx="21">
                  <c:v>4</c:v>
                </c:pt>
                <c:pt idx="22">
                  <c:v>4</c:v>
                </c:pt>
                <c:pt idx="23">
                  <c:v>5</c:v>
                </c:pt>
                <c:pt idx="24">
                  <c:v>4</c:v>
                </c:pt>
                <c:pt idx="25">
                  <c:v>2</c:v>
                </c:pt>
                <c:pt idx="26">
                  <c:v>3</c:v>
                </c:pt>
                <c:pt idx="27">
                  <c:v>4</c:v>
                </c:pt>
                <c:pt idx="28">
                  <c:v>5</c:v>
                </c:pt>
                <c:pt idx="29">
                  <c:v>5</c:v>
                </c:pt>
                <c:pt idx="30">
                  <c:v>3</c:v>
                </c:pt>
                <c:pt idx="31">
                  <c:v>4</c:v>
                </c:pt>
              </c:numCache>
            </c:numRef>
          </c:val>
          <c:smooth val="0"/>
        </c:ser>
        <c:ser>
          <c:idx val="3"/>
          <c:order val="3"/>
          <c:tx>
            <c:strRef>
              <c:f>Structural_Features!$AD$4</c:f>
              <c:strCache>
                <c:ptCount val="1"/>
                <c:pt idx="0">
                  <c:v>LargeRDFBench-Mean</c:v>
                </c:pt>
              </c:strCache>
            </c:strRef>
          </c:tx>
          <c:spPr>
            <a:ln w="22225" cap="rnd">
              <a:solidFill>
                <a:schemeClr val="accent4"/>
              </a:solidFill>
              <a:prstDash val="lg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Structural_Features!$AD$5:$AD$36</c:f>
              <c:numCache>
                <c:formatCode>General</c:formatCode>
                <c:ptCount val="32"/>
                <c:pt idx="0">
                  <c:v>3.4375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pt idx="31">
                  <c:v>3.5</c:v>
                </c:pt>
              </c:numCache>
            </c:numRef>
          </c:val>
          <c:smooth val="0"/>
        </c:ser>
        <c:dLbls>
          <c:showLegendKey val="0"/>
          <c:showVal val="0"/>
          <c:showCatName val="0"/>
          <c:showSerName val="0"/>
          <c:showPercent val="0"/>
          <c:showBubbleSize val="0"/>
        </c:dLbls>
        <c:marker val="1"/>
        <c:smooth val="0"/>
        <c:axId val="212603184"/>
        <c:axId val="212603744"/>
      </c:lineChart>
      <c:catAx>
        <c:axId val="2126031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2603744"/>
        <c:crosses val="autoZero"/>
        <c:auto val="1"/>
        <c:lblAlgn val="ctr"/>
        <c:lblOffset val="100"/>
        <c:noMultiLvlLbl val="0"/>
      </c:catAx>
      <c:valAx>
        <c:axId val="21260374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#Join Vertices</a:t>
                </a:r>
              </a:p>
            </c:rich>
          </c:tx>
          <c:layout>
            <c:manualLayout>
              <c:xMode val="edge"/>
              <c:yMode val="edge"/>
              <c:x val="2.612916311927279E-3"/>
              <c:y val="0.328928799865865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603184"/>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2552552989735632"/>
          <c:y val="5.180375639624421E-2"/>
          <c:w val="0.43942745923296506"/>
          <c:h val="0.241532738834517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89895817901218"/>
          <c:y val="5.0925925925925923E-2"/>
          <c:w val="0.84151804201579705"/>
          <c:h val="0.8416746864975212"/>
        </c:manualLayout>
      </c:layout>
      <c:barChart>
        <c:barDir val="col"/>
        <c:grouping val="clustered"/>
        <c:varyColors val="0"/>
        <c:ser>
          <c:idx val="0"/>
          <c:order val="0"/>
          <c:tx>
            <c:strRef>
              <c:f>Structural_Features!$AG$4</c:f>
              <c:strCache>
                <c:ptCount val="1"/>
                <c:pt idx="0">
                  <c:v>FedBench</c:v>
                </c:pt>
              </c:strCache>
            </c:strRef>
          </c:tx>
          <c:spPr>
            <a:solidFill>
              <a:schemeClr val="accent1"/>
            </a:solidFill>
            <a:ln>
              <a:noFill/>
            </a:ln>
            <a:effectLst/>
          </c:spPr>
          <c:invertIfNegative val="0"/>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Structural_Features!$AG$5:$AG$36</c:f>
              <c:numCache>
                <c:formatCode>General</c:formatCode>
                <c:ptCount val="32"/>
                <c:pt idx="0">
                  <c:v>2</c:v>
                </c:pt>
                <c:pt idx="1">
                  <c:v>2</c:v>
                </c:pt>
                <c:pt idx="2">
                  <c:v>3</c:v>
                </c:pt>
                <c:pt idx="3">
                  <c:v>2</c:v>
                </c:pt>
                <c:pt idx="4">
                  <c:v>2</c:v>
                </c:pt>
                <c:pt idx="5">
                  <c:v>2</c:v>
                </c:pt>
                <c:pt idx="6">
                  <c:v>2</c:v>
                </c:pt>
                <c:pt idx="7">
                  <c:v>0</c:v>
                </c:pt>
                <c:pt idx="8">
                  <c:v>2</c:v>
                </c:pt>
                <c:pt idx="9">
                  <c:v>2.33</c:v>
                </c:pt>
                <c:pt idx="10">
                  <c:v>2.5</c:v>
                </c:pt>
                <c:pt idx="11">
                  <c:v>2.25</c:v>
                </c:pt>
                <c:pt idx="12">
                  <c:v>2.33</c:v>
                </c:pt>
                <c:pt idx="13">
                  <c:v>2</c:v>
                </c:pt>
              </c:numCache>
            </c:numRef>
          </c:val>
        </c:ser>
        <c:dLbls>
          <c:showLegendKey val="0"/>
          <c:showVal val="0"/>
          <c:showCatName val="0"/>
          <c:showSerName val="0"/>
          <c:showPercent val="0"/>
          <c:showBubbleSize val="0"/>
        </c:dLbls>
        <c:gapWidth val="150"/>
        <c:axId val="217045200"/>
        <c:axId val="217045760"/>
      </c:barChart>
      <c:lineChart>
        <c:grouping val="standard"/>
        <c:varyColors val="0"/>
        <c:ser>
          <c:idx val="1"/>
          <c:order val="1"/>
          <c:tx>
            <c:strRef>
              <c:f>Structural_Features!$AH$4</c:f>
              <c:strCache>
                <c:ptCount val="1"/>
                <c:pt idx="0">
                  <c:v>FedBench-Mean</c:v>
                </c:pt>
              </c:strCache>
            </c:strRef>
          </c:tx>
          <c:spPr>
            <a:ln w="22225" cap="rnd">
              <a:solidFill>
                <a:schemeClr val="accent2"/>
              </a:solidFill>
              <a:prstDash val="sys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Structural_Features!$AH$5:$AH$36</c:f>
              <c:numCache>
                <c:formatCode>General</c:formatCode>
                <c:ptCount val="32"/>
                <c:pt idx="0">
                  <c:v>2.1853846153846153</c:v>
                </c:pt>
                <c:pt idx="1">
                  <c:v>2.1853846153846153</c:v>
                </c:pt>
                <c:pt idx="2">
                  <c:v>2.1853846153846153</c:v>
                </c:pt>
                <c:pt idx="3">
                  <c:v>2.1853846153846153</c:v>
                </c:pt>
                <c:pt idx="4">
                  <c:v>2.1853846153846153</c:v>
                </c:pt>
                <c:pt idx="5">
                  <c:v>2.1853846153846153</c:v>
                </c:pt>
                <c:pt idx="6">
                  <c:v>2.1853846153846153</c:v>
                </c:pt>
                <c:pt idx="7">
                  <c:v>2.1853846153846153</c:v>
                </c:pt>
                <c:pt idx="8">
                  <c:v>2.1853846153846153</c:v>
                </c:pt>
                <c:pt idx="9">
                  <c:v>2.1853846153846153</c:v>
                </c:pt>
                <c:pt idx="10">
                  <c:v>2.1853846153846153</c:v>
                </c:pt>
                <c:pt idx="11">
                  <c:v>2.1853846153846153</c:v>
                </c:pt>
                <c:pt idx="12">
                  <c:v>2.1853846153846153</c:v>
                </c:pt>
                <c:pt idx="13">
                  <c:v>2.1853846153846153</c:v>
                </c:pt>
              </c:numCache>
            </c:numRef>
          </c:val>
          <c:smooth val="0"/>
        </c:ser>
        <c:ser>
          <c:idx val="2"/>
          <c:order val="2"/>
          <c:tx>
            <c:strRef>
              <c:f>Structural_Features!$AI$4</c:f>
              <c:strCache>
                <c:ptCount val="1"/>
                <c:pt idx="0">
                  <c:v>LargeRDFBench</c:v>
                </c:pt>
              </c:strCache>
            </c:strRef>
          </c:tx>
          <c:spPr>
            <a:ln w="22225" cap="sq">
              <a:solidFill>
                <a:schemeClr val="accent3"/>
              </a:solidFill>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Structural_Features!$AI$5:$AI$36</c:f>
              <c:numCache>
                <c:formatCode>General</c:formatCode>
                <c:ptCount val="32"/>
                <c:pt idx="0">
                  <c:v>2</c:v>
                </c:pt>
                <c:pt idx="1">
                  <c:v>2</c:v>
                </c:pt>
                <c:pt idx="2">
                  <c:v>3</c:v>
                </c:pt>
                <c:pt idx="3">
                  <c:v>2</c:v>
                </c:pt>
                <c:pt idx="4">
                  <c:v>2</c:v>
                </c:pt>
                <c:pt idx="5">
                  <c:v>2</c:v>
                </c:pt>
                <c:pt idx="6">
                  <c:v>2</c:v>
                </c:pt>
                <c:pt idx="7">
                  <c:v>0</c:v>
                </c:pt>
                <c:pt idx="8">
                  <c:v>2</c:v>
                </c:pt>
                <c:pt idx="9">
                  <c:v>2.33</c:v>
                </c:pt>
                <c:pt idx="10">
                  <c:v>2.5</c:v>
                </c:pt>
                <c:pt idx="11">
                  <c:v>2.25</c:v>
                </c:pt>
                <c:pt idx="12">
                  <c:v>2.33</c:v>
                </c:pt>
                <c:pt idx="13">
                  <c:v>2</c:v>
                </c:pt>
                <c:pt idx="14">
                  <c:v>2.5</c:v>
                </c:pt>
                <c:pt idx="15">
                  <c:v>2.25</c:v>
                </c:pt>
                <c:pt idx="16">
                  <c:v>2.5</c:v>
                </c:pt>
                <c:pt idx="17">
                  <c:v>6</c:v>
                </c:pt>
                <c:pt idx="18">
                  <c:v>2.4</c:v>
                </c:pt>
                <c:pt idx="19">
                  <c:v>2.8</c:v>
                </c:pt>
                <c:pt idx="20">
                  <c:v>2.33</c:v>
                </c:pt>
                <c:pt idx="21">
                  <c:v>3.25</c:v>
                </c:pt>
                <c:pt idx="22">
                  <c:v>2.75</c:v>
                </c:pt>
                <c:pt idx="23">
                  <c:v>2.8</c:v>
                </c:pt>
                <c:pt idx="24">
                  <c:v>2</c:v>
                </c:pt>
                <c:pt idx="25">
                  <c:v>3.5</c:v>
                </c:pt>
                <c:pt idx="26">
                  <c:v>3</c:v>
                </c:pt>
                <c:pt idx="27">
                  <c:v>2.5</c:v>
                </c:pt>
                <c:pt idx="28">
                  <c:v>3</c:v>
                </c:pt>
                <c:pt idx="29">
                  <c:v>2.8</c:v>
                </c:pt>
                <c:pt idx="30">
                  <c:v>2.33</c:v>
                </c:pt>
                <c:pt idx="31">
                  <c:v>2.5</c:v>
                </c:pt>
              </c:numCache>
            </c:numRef>
          </c:val>
          <c:smooth val="0"/>
        </c:ser>
        <c:ser>
          <c:idx val="3"/>
          <c:order val="3"/>
          <c:tx>
            <c:strRef>
              <c:f>Structural_Features!$AJ$4</c:f>
              <c:strCache>
                <c:ptCount val="1"/>
                <c:pt idx="0">
                  <c:v>LargeRDFBench-Mean</c:v>
                </c:pt>
              </c:strCache>
            </c:strRef>
          </c:tx>
          <c:spPr>
            <a:ln w="22225" cap="rnd">
              <a:solidFill>
                <a:schemeClr val="accent4"/>
              </a:solidFill>
              <a:prstDash val="lgDash"/>
              <a:round/>
            </a:ln>
            <a:effectLst/>
          </c:spPr>
          <c:marker>
            <c:symbol val="none"/>
          </c:marker>
          <c:cat>
            <c:strRef>
              <c:f>Structural_Features!$N$5:$N$36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Structural_Features!$AJ$5:$AJ$36</c:f>
              <c:numCache>
                <c:formatCode>General</c:formatCode>
                <c:ptCount val="32"/>
                <c:pt idx="0">
                  <c:v>2.5683870967741926</c:v>
                </c:pt>
                <c:pt idx="1">
                  <c:v>2.5583870967741928</c:v>
                </c:pt>
                <c:pt idx="2">
                  <c:v>2.5583870967741928</c:v>
                </c:pt>
                <c:pt idx="3">
                  <c:v>2.5583870967741928</c:v>
                </c:pt>
                <c:pt idx="4">
                  <c:v>2.5583870967741928</c:v>
                </c:pt>
                <c:pt idx="5">
                  <c:v>2.5583870967741928</c:v>
                </c:pt>
                <c:pt idx="6">
                  <c:v>2.5583870967741928</c:v>
                </c:pt>
                <c:pt idx="7">
                  <c:v>2.5583870967741928</c:v>
                </c:pt>
                <c:pt idx="8">
                  <c:v>2.5583870967741928</c:v>
                </c:pt>
                <c:pt idx="9">
                  <c:v>2.5583870967741928</c:v>
                </c:pt>
                <c:pt idx="10">
                  <c:v>2.5583870967741928</c:v>
                </c:pt>
                <c:pt idx="11">
                  <c:v>2.5583870967741928</c:v>
                </c:pt>
                <c:pt idx="12">
                  <c:v>2.5583870967741928</c:v>
                </c:pt>
                <c:pt idx="13">
                  <c:v>2.5583870967741928</c:v>
                </c:pt>
                <c:pt idx="14">
                  <c:v>2.5583870967741928</c:v>
                </c:pt>
                <c:pt idx="15">
                  <c:v>2.5583870967741928</c:v>
                </c:pt>
                <c:pt idx="16">
                  <c:v>2.5583870967741928</c:v>
                </c:pt>
                <c:pt idx="17">
                  <c:v>2.5583870967741928</c:v>
                </c:pt>
                <c:pt idx="18">
                  <c:v>2.5583870967741928</c:v>
                </c:pt>
                <c:pt idx="19">
                  <c:v>2.5583870967741928</c:v>
                </c:pt>
                <c:pt idx="20">
                  <c:v>2.5583870967741928</c:v>
                </c:pt>
                <c:pt idx="21">
                  <c:v>2.5583870967741928</c:v>
                </c:pt>
                <c:pt idx="22">
                  <c:v>2.5583870967741928</c:v>
                </c:pt>
                <c:pt idx="23">
                  <c:v>2.5583870967741928</c:v>
                </c:pt>
                <c:pt idx="24">
                  <c:v>2.5583870967741928</c:v>
                </c:pt>
                <c:pt idx="25">
                  <c:v>2.5583870967741928</c:v>
                </c:pt>
                <c:pt idx="26">
                  <c:v>2.5583870967741928</c:v>
                </c:pt>
                <c:pt idx="27">
                  <c:v>2.5583870967741928</c:v>
                </c:pt>
                <c:pt idx="28">
                  <c:v>2.5583870967741928</c:v>
                </c:pt>
                <c:pt idx="29">
                  <c:v>2.5583870967741928</c:v>
                </c:pt>
                <c:pt idx="30">
                  <c:v>2.5583870967741928</c:v>
                </c:pt>
                <c:pt idx="31">
                  <c:v>2.5583870967741928</c:v>
                </c:pt>
              </c:numCache>
            </c:numRef>
          </c:val>
          <c:smooth val="0"/>
        </c:ser>
        <c:dLbls>
          <c:showLegendKey val="0"/>
          <c:showVal val="0"/>
          <c:showCatName val="0"/>
          <c:showSerName val="0"/>
          <c:showPercent val="0"/>
          <c:showBubbleSize val="0"/>
        </c:dLbls>
        <c:marker val="1"/>
        <c:smooth val="0"/>
        <c:axId val="217045200"/>
        <c:axId val="217045760"/>
      </c:lineChart>
      <c:catAx>
        <c:axId val="2170452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7045760"/>
        <c:crosses val="autoZero"/>
        <c:auto val="1"/>
        <c:lblAlgn val="ctr"/>
        <c:lblOffset val="100"/>
        <c:noMultiLvlLbl val="0"/>
      </c:catAx>
      <c:valAx>
        <c:axId val="21704576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Mean Join Vertices Degree</a:t>
                </a:r>
              </a:p>
            </c:rich>
          </c:tx>
          <c:layout>
            <c:manualLayout>
              <c:xMode val="edge"/>
              <c:yMode val="edge"/>
              <c:x val="2.6130097556252619E-3"/>
              <c:y val="0.2057001869193700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045200"/>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2552552989735632"/>
          <c:y val="5.180375639624421E-2"/>
          <c:w val="0.439427459232965"/>
          <c:h val="0.234141350787421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06575867205788"/>
          <c:y val="5.0925825301803368E-2"/>
          <c:w val="0.79298231951775255"/>
          <c:h val="0.8416746864975212"/>
        </c:manualLayout>
      </c:layout>
      <c:barChart>
        <c:barDir val="col"/>
        <c:grouping val="clustered"/>
        <c:varyColors val="0"/>
        <c:ser>
          <c:idx val="0"/>
          <c:order val="0"/>
          <c:tx>
            <c:strRef>
              <c:f>'Data Driven_Features'!$M$4</c:f>
              <c:strCache>
                <c:ptCount val="1"/>
                <c:pt idx="0">
                  <c:v>FedBench</c:v>
                </c:pt>
              </c:strCache>
            </c:strRef>
          </c:tx>
          <c:spPr>
            <a:solidFill>
              <a:schemeClr val="accent1"/>
            </a:solidFill>
            <a:ln>
              <a:noFill/>
            </a:ln>
            <a:effectLst/>
          </c:spPr>
          <c:invertIfNegative val="0"/>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Driven_Features'!$M$5:$M$36</c:f>
              <c:numCache>
                <c:formatCode>General</c:formatCode>
                <c:ptCount val="32"/>
                <c:pt idx="0">
                  <c:v>90</c:v>
                </c:pt>
                <c:pt idx="1">
                  <c:v>1</c:v>
                </c:pt>
                <c:pt idx="2">
                  <c:v>2</c:v>
                </c:pt>
                <c:pt idx="3">
                  <c:v>1</c:v>
                </c:pt>
                <c:pt idx="4">
                  <c:v>2</c:v>
                </c:pt>
                <c:pt idx="5">
                  <c:v>11</c:v>
                </c:pt>
                <c:pt idx="6">
                  <c:v>1</c:v>
                </c:pt>
                <c:pt idx="7">
                  <c:v>1159</c:v>
                </c:pt>
                <c:pt idx="8">
                  <c:v>333</c:v>
                </c:pt>
                <c:pt idx="9">
                  <c:v>9054</c:v>
                </c:pt>
                <c:pt idx="10">
                  <c:v>3</c:v>
                </c:pt>
                <c:pt idx="11">
                  <c:v>393</c:v>
                </c:pt>
                <c:pt idx="12">
                  <c:v>28</c:v>
                </c:pt>
                <c:pt idx="13">
                  <c:v>1620</c:v>
                </c:pt>
              </c:numCache>
            </c:numRef>
          </c:val>
        </c:ser>
        <c:dLbls>
          <c:showLegendKey val="0"/>
          <c:showVal val="0"/>
          <c:showCatName val="0"/>
          <c:showSerName val="0"/>
          <c:showPercent val="0"/>
          <c:showBubbleSize val="0"/>
        </c:dLbls>
        <c:gapWidth val="150"/>
        <c:axId val="217050240"/>
        <c:axId val="217780176"/>
      </c:barChart>
      <c:lineChart>
        <c:grouping val="standard"/>
        <c:varyColors val="0"/>
        <c:ser>
          <c:idx val="1"/>
          <c:order val="1"/>
          <c:tx>
            <c:strRef>
              <c:f>'Data Driven_Features'!$N$4</c:f>
              <c:strCache>
                <c:ptCount val="1"/>
                <c:pt idx="0">
                  <c:v>FedBench-Mean</c:v>
                </c:pt>
              </c:strCache>
            </c:strRef>
          </c:tx>
          <c:spPr>
            <a:ln w="22225" cap="rnd">
              <a:solidFill>
                <a:schemeClr val="accent2"/>
              </a:solidFill>
              <a:prstDash val="sysDash"/>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Driven_Features'!$N$5:$N$36</c:f>
              <c:numCache>
                <c:formatCode>General</c:formatCode>
                <c:ptCount val="32"/>
                <c:pt idx="0">
                  <c:v>907</c:v>
                </c:pt>
                <c:pt idx="1">
                  <c:v>907</c:v>
                </c:pt>
                <c:pt idx="2">
                  <c:v>907</c:v>
                </c:pt>
                <c:pt idx="3">
                  <c:v>907</c:v>
                </c:pt>
                <c:pt idx="4">
                  <c:v>907</c:v>
                </c:pt>
                <c:pt idx="5">
                  <c:v>907</c:v>
                </c:pt>
                <c:pt idx="6">
                  <c:v>907</c:v>
                </c:pt>
                <c:pt idx="7">
                  <c:v>907</c:v>
                </c:pt>
                <c:pt idx="8">
                  <c:v>907</c:v>
                </c:pt>
                <c:pt idx="9">
                  <c:v>907</c:v>
                </c:pt>
                <c:pt idx="10">
                  <c:v>907</c:v>
                </c:pt>
                <c:pt idx="11">
                  <c:v>907</c:v>
                </c:pt>
                <c:pt idx="12">
                  <c:v>907</c:v>
                </c:pt>
                <c:pt idx="13">
                  <c:v>907</c:v>
                </c:pt>
              </c:numCache>
            </c:numRef>
          </c:val>
          <c:smooth val="0"/>
        </c:ser>
        <c:ser>
          <c:idx val="2"/>
          <c:order val="2"/>
          <c:tx>
            <c:strRef>
              <c:f>'Data Driven_Features'!$O$4</c:f>
              <c:strCache>
                <c:ptCount val="1"/>
                <c:pt idx="0">
                  <c:v>LargeRDFBench</c:v>
                </c:pt>
              </c:strCache>
            </c:strRef>
          </c:tx>
          <c:spPr>
            <a:ln w="22225" cap="sq">
              <a:solidFill>
                <a:schemeClr val="accent3"/>
              </a:solidFill>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Driven_Features'!$O$5:$O$36</c:f>
              <c:numCache>
                <c:formatCode>General</c:formatCode>
                <c:ptCount val="32"/>
                <c:pt idx="0">
                  <c:v>90</c:v>
                </c:pt>
                <c:pt idx="1">
                  <c:v>1</c:v>
                </c:pt>
                <c:pt idx="2">
                  <c:v>2</c:v>
                </c:pt>
                <c:pt idx="3">
                  <c:v>1</c:v>
                </c:pt>
                <c:pt idx="4">
                  <c:v>2</c:v>
                </c:pt>
                <c:pt idx="5">
                  <c:v>11</c:v>
                </c:pt>
                <c:pt idx="6">
                  <c:v>1</c:v>
                </c:pt>
                <c:pt idx="7">
                  <c:v>1159</c:v>
                </c:pt>
                <c:pt idx="8">
                  <c:v>333</c:v>
                </c:pt>
                <c:pt idx="9">
                  <c:v>9054</c:v>
                </c:pt>
                <c:pt idx="10">
                  <c:v>3</c:v>
                </c:pt>
                <c:pt idx="11">
                  <c:v>393</c:v>
                </c:pt>
                <c:pt idx="12">
                  <c:v>28</c:v>
                </c:pt>
                <c:pt idx="13">
                  <c:v>1620</c:v>
                </c:pt>
                <c:pt idx="14">
                  <c:v>1000</c:v>
                </c:pt>
                <c:pt idx="15">
                  <c:v>4</c:v>
                </c:pt>
                <c:pt idx="16">
                  <c:v>9</c:v>
                </c:pt>
                <c:pt idx="17">
                  <c:v>50</c:v>
                </c:pt>
                <c:pt idx="18">
                  <c:v>500</c:v>
                </c:pt>
                <c:pt idx="19">
                  <c:v>148</c:v>
                </c:pt>
                <c:pt idx="20">
                  <c:v>112</c:v>
                </c:pt>
                <c:pt idx="21">
                  <c:v>3067</c:v>
                </c:pt>
                <c:pt idx="22">
                  <c:v>100</c:v>
                </c:pt>
                <c:pt idx="23">
                  <c:v>102</c:v>
                </c:pt>
                <c:pt idx="24">
                  <c:v>227192</c:v>
                </c:pt>
                <c:pt idx="25">
                  <c:v>152899</c:v>
                </c:pt>
                <c:pt idx="26">
                  <c:v>257158</c:v>
                </c:pt>
                <c:pt idx="27">
                  <c:v>397204</c:v>
                </c:pt>
                <c:pt idx="28">
                  <c:v>190575</c:v>
                </c:pt>
                <c:pt idx="29">
                  <c:v>282154</c:v>
                </c:pt>
                <c:pt idx="30">
                  <c:v>80459</c:v>
                </c:pt>
                <c:pt idx="31">
                  <c:v>306705</c:v>
                </c:pt>
              </c:numCache>
            </c:numRef>
          </c:val>
          <c:smooth val="0"/>
        </c:ser>
        <c:ser>
          <c:idx val="3"/>
          <c:order val="3"/>
          <c:tx>
            <c:strRef>
              <c:f>'Data Driven_Features'!$P$4</c:f>
              <c:strCache>
                <c:ptCount val="1"/>
                <c:pt idx="0">
                  <c:v>LargeRDFBench-Mean</c:v>
                </c:pt>
              </c:strCache>
            </c:strRef>
          </c:tx>
          <c:spPr>
            <a:ln w="22225" cap="rnd">
              <a:solidFill>
                <a:schemeClr val="accent4"/>
              </a:solidFill>
              <a:prstDash val="lgDash"/>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Driven_Features'!$P$5:$P$36</c:f>
              <c:numCache>
                <c:formatCode>General</c:formatCode>
                <c:ptCount val="32"/>
                <c:pt idx="0">
                  <c:v>59754.25</c:v>
                </c:pt>
                <c:pt idx="1">
                  <c:v>59754.25</c:v>
                </c:pt>
                <c:pt idx="2">
                  <c:v>59754.25</c:v>
                </c:pt>
                <c:pt idx="3">
                  <c:v>59754.25</c:v>
                </c:pt>
                <c:pt idx="4">
                  <c:v>59754.25</c:v>
                </c:pt>
                <c:pt idx="5">
                  <c:v>59754.25</c:v>
                </c:pt>
                <c:pt idx="6">
                  <c:v>59754.25</c:v>
                </c:pt>
                <c:pt idx="7">
                  <c:v>59754.25</c:v>
                </c:pt>
                <c:pt idx="8">
                  <c:v>59754.25</c:v>
                </c:pt>
                <c:pt idx="9">
                  <c:v>59754.25</c:v>
                </c:pt>
                <c:pt idx="10">
                  <c:v>59754.25</c:v>
                </c:pt>
                <c:pt idx="11">
                  <c:v>59754.25</c:v>
                </c:pt>
                <c:pt idx="12">
                  <c:v>59754.25</c:v>
                </c:pt>
                <c:pt idx="13">
                  <c:v>59754.25</c:v>
                </c:pt>
                <c:pt idx="14">
                  <c:v>59754.25</c:v>
                </c:pt>
                <c:pt idx="15">
                  <c:v>59754.25</c:v>
                </c:pt>
                <c:pt idx="16">
                  <c:v>59754.25</c:v>
                </c:pt>
                <c:pt idx="17">
                  <c:v>59754.25</c:v>
                </c:pt>
                <c:pt idx="18">
                  <c:v>59754.25</c:v>
                </c:pt>
                <c:pt idx="19">
                  <c:v>59754.25</c:v>
                </c:pt>
                <c:pt idx="20">
                  <c:v>59754.25</c:v>
                </c:pt>
                <c:pt idx="21">
                  <c:v>59754.25</c:v>
                </c:pt>
                <c:pt idx="22">
                  <c:v>59754.25</c:v>
                </c:pt>
                <c:pt idx="23">
                  <c:v>59754.25</c:v>
                </c:pt>
                <c:pt idx="24">
                  <c:v>59754.25</c:v>
                </c:pt>
                <c:pt idx="25">
                  <c:v>59754.25</c:v>
                </c:pt>
                <c:pt idx="26">
                  <c:v>59754.25</c:v>
                </c:pt>
                <c:pt idx="27">
                  <c:v>59754.25</c:v>
                </c:pt>
                <c:pt idx="28">
                  <c:v>59754.25</c:v>
                </c:pt>
                <c:pt idx="29">
                  <c:v>59754.25</c:v>
                </c:pt>
                <c:pt idx="30">
                  <c:v>59754.25</c:v>
                </c:pt>
                <c:pt idx="31">
                  <c:v>59754.25</c:v>
                </c:pt>
              </c:numCache>
            </c:numRef>
          </c:val>
          <c:smooth val="0"/>
        </c:ser>
        <c:dLbls>
          <c:showLegendKey val="0"/>
          <c:showVal val="0"/>
          <c:showCatName val="0"/>
          <c:showSerName val="0"/>
          <c:showPercent val="0"/>
          <c:showBubbleSize val="0"/>
        </c:dLbls>
        <c:marker val="1"/>
        <c:smooth val="0"/>
        <c:axId val="217050240"/>
        <c:axId val="217780176"/>
      </c:lineChart>
      <c:catAx>
        <c:axId val="2170502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7780176"/>
        <c:crosses val="autoZero"/>
        <c:auto val="1"/>
        <c:lblAlgn val="ctr"/>
        <c:lblOffset val="100"/>
        <c:noMultiLvlLbl val="0"/>
      </c:catAx>
      <c:valAx>
        <c:axId val="217780176"/>
        <c:scaling>
          <c:logBase val="10"/>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#Results (log scale)</a:t>
                </a:r>
              </a:p>
            </c:rich>
          </c:tx>
          <c:layout>
            <c:manualLayout>
              <c:xMode val="edge"/>
              <c:yMode val="edge"/>
              <c:x val="2.612916311927279E-3"/>
              <c:y val="0.328928799865865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050240"/>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2931960428023417"/>
          <c:y val="2.5123112176462046E-3"/>
          <c:w val="0.59961812465749476"/>
          <c:h val="0.201910955586467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47105424580001"/>
          <c:y val="5.0925925925925923E-2"/>
          <c:w val="0.86964142881979778"/>
          <c:h val="0.8416746864975212"/>
        </c:manualLayout>
      </c:layout>
      <c:barChart>
        <c:barDir val="col"/>
        <c:grouping val="clustered"/>
        <c:varyColors val="0"/>
        <c:ser>
          <c:idx val="0"/>
          <c:order val="0"/>
          <c:tx>
            <c:strRef>
              <c:f>'Data Driven_Features'!$S$4</c:f>
              <c:strCache>
                <c:ptCount val="1"/>
                <c:pt idx="0">
                  <c:v>FedBench</c:v>
                </c:pt>
              </c:strCache>
            </c:strRef>
          </c:tx>
          <c:spPr>
            <a:solidFill>
              <a:schemeClr val="accent1"/>
            </a:solidFill>
            <a:ln>
              <a:noFill/>
            </a:ln>
            <a:effectLst/>
          </c:spPr>
          <c:invertIfNegative val="0"/>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Driven_Features'!$S$5:$S$36</c:f>
              <c:numCache>
                <c:formatCode>General</c:formatCode>
                <c:ptCount val="32"/>
                <c:pt idx="0">
                  <c:v>2</c:v>
                </c:pt>
                <c:pt idx="1">
                  <c:v>2</c:v>
                </c:pt>
                <c:pt idx="2">
                  <c:v>8</c:v>
                </c:pt>
                <c:pt idx="3">
                  <c:v>8</c:v>
                </c:pt>
                <c:pt idx="4">
                  <c:v>8</c:v>
                </c:pt>
                <c:pt idx="5">
                  <c:v>6</c:v>
                </c:pt>
                <c:pt idx="6">
                  <c:v>8</c:v>
                </c:pt>
                <c:pt idx="7">
                  <c:v>1</c:v>
                </c:pt>
                <c:pt idx="8">
                  <c:v>13</c:v>
                </c:pt>
                <c:pt idx="9">
                  <c:v>8</c:v>
                </c:pt>
                <c:pt idx="10">
                  <c:v>2</c:v>
                </c:pt>
                <c:pt idx="11">
                  <c:v>5</c:v>
                </c:pt>
                <c:pt idx="12">
                  <c:v>5</c:v>
                </c:pt>
                <c:pt idx="13">
                  <c:v>3</c:v>
                </c:pt>
              </c:numCache>
            </c:numRef>
          </c:val>
        </c:ser>
        <c:dLbls>
          <c:showLegendKey val="0"/>
          <c:showVal val="0"/>
          <c:showCatName val="0"/>
          <c:showSerName val="0"/>
          <c:showPercent val="0"/>
          <c:showBubbleSize val="0"/>
        </c:dLbls>
        <c:gapWidth val="150"/>
        <c:axId val="217784656"/>
        <c:axId val="217785216"/>
      </c:barChart>
      <c:lineChart>
        <c:grouping val="standard"/>
        <c:varyColors val="0"/>
        <c:ser>
          <c:idx val="1"/>
          <c:order val="1"/>
          <c:tx>
            <c:strRef>
              <c:f>'Data Driven_Features'!$T$4</c:f>
              <c:strCache>
                <c:ptCount val="1"/>
                <c:pt idx="0">
                  <c:v>FedBench-Mean</c:v>
                </c:pt>
              </c:strCache>
            </c:strRef>
          </c:tx>
          <c:spPr>
            <a:ln w="22225" cap="rnd">
              <a:solidFill>
                <a:schemeClr val="accent2"/>
              </a:solidFill>
              <a:prstDash val="sysDash"/>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Driven_Features'!$T$5:$T$36</c:f>
              <c:numCache>
                <c:formatCode>General</c:formatCode>
                <c:ptCount val="32"/>
                <c:pt idx="0">
                  <c:v>5.6428571428571432</c:v>
                </c:pt>
                <c:pt idx="1">
                  <c:v>5.6428571428571432</c:v>
                </c:pt>
                <c:pt idx="2">
                  <c:v>5.6428571428571432</c:v>
                </c:pt>
                <c:pt idx="3">
                  <c:v>5.6428571428571432</c:v>
                </c:pt>
                <c:pt idx="4">
                  <c:v>5.6428571428571432</c:v>
                </c:pt>
                <c:pt idx="5">
                  <c:v>5.6428571428571432</c:v>
                </c:pt>
                <c:pt idx="6">
                  <c:v>5.6428571428571432</c:v>
                </c:pt>
                <c:pt idx="7">
                  <c:v>5.6428571428571432</c:v>
                </c:pt>
                <c:pt idx="8">
                  <c:v>5.6428571428571432</c:v>
                </c:pt>
                <c:pt idx="9">
                  <c:v>5.6428571428571432</c:v>
                </c:pt>
                <c:pt idx="10">
                  <c:v>5.6428571428571432</c:v>
                </c:pt>
                <c:pt idx="11">
                  <c:v>5.6428571428571432</c:v>
                </c:pt>
                <c:pt idx="12">
                  <c:v>5.6428571428571432</c:v>
                </c:pt>
                <c:pt idx="13">
                  <c:v>5.6428571428571432</c:v>
                </c:pt>
              </c:numCache>
            </c:numRef>
          </c:val>
          <c:smooth val="0"/>
        </c:ser>
        <c:ser>
          <c:idx val="2"/>
          <c:order val="2"/>
          <c:tx>
            <c:strRef>
              <c:f>'Data Driven_Features'!$U$4</c:f>
              <c:strCache>
                <c:ptCount val="1"/>
                <c:pt idx="0">
                  <c:v>LargeRDFBench</c:v>
                </c:pt>
              </c:strCache>
            </c:strRef>
          </c:tx>
          <c:spPr>
            <a:ln w="22225" cap="sq">
              <a:solidFill>
                <a:schemeClr val="accent3"/>
              </a:solidFill>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Driven_Features'!$U$5:$U$36</c:f>
              <c:numCache>
                <c:formatCode>General</c:formatCode>
                <c:ptCount val="32"/>
                <c:pt idx="0">
                  <c:v>2</c:v>
                </c:pt>
                <c:pt idx="1">
                  <c:v>2</c:v>
                </c:pt>
                <c:pt idx="2">
                  <c:v>8</c:v>
                </c:pt>
                <c:pt idx="3">
                  <c:v>8</c:v>
                </c:pt>
                <c:pt idx="4">
                  <c:v>8</c:v>
                </c:pt>
                <c:pt idx="5">
                  <c:v>6</c:v>
                </c:pt>
                <c:pt idx="6">
                  <c:v>8</c:v>
                </c:pt>
                <c:pt idx="7">
                  <c:v>1</c:v>
                </c:pt>
                <c:pt idx="8">
                  <c:v>13</c:v>
                </c:pt>
                <c:pt idx="9">
                  <c:v>8</c:v>
                </c:pt>
                <c:pt idx="10">
                  <c:v>2</c:v>
                </c:pt>
                <c:pt idx="11">
                  <c:v>5</c:v>
                </c:pt>
                <c:pt idx="12">
                  <c:v>5</c:v>
                </c:pt>
                <c:pt idx="13">
                  <c:v>3</c:v>
                </c:pt>
                <c:pt idx="14">
                  <c:v>5</c:v>
                </c:pt>
                <c:pt idx="15">
                  <c:v>5</c:v>
                </c:pt>
                <c:pt idx="16">
                  <c:v>8</c:v>
                </c:pt>
                <c:pt idx="17">
                  <c:v>8</c:v>
                </c:pt>
                <c:pt idx="18">
                  <c:v>13</c:v>
                </c:pt>
                <c:pt idx="19">
                  <c:v>8</c:v>
                </c:pt>
                <c:pt idx="20">
                  <c:v>5</c:v>
                </c:pt>
                <c:pt idx="21">
                  <c:v>13</c:v>
                </c:pt>
                <c:pt idx="22">
                  <c:v>8</c:v>
                </c:pt>
                <c:pt idx="23">
                  <c:v>5</c:v>
                </c:pt>
                <c:pt idx="24">
                  <c:v>3</c:v>
                </c:pt>
                <c:pt idx="25">
                  <c:v>3</c:v>
                </c:pt>
                <c:pt idx="26">
                  <c:v>3</c:v>
                </c:pt>
                <c:pt idx="27">
                  <c:v>4</c:v>
                </c:pt>
                <c:pt idx="28">
                  <c:v>4</c:v>
                </c:pt>
                <c:pt idx="29">
                  <c:v>4</c:v>
                </c:pt>
                <c:pt idx="30">
                  <c:v>13</c:v>
                </c:pt>
                <c:pt idx="31">
                  <c:v>3</c:v>
                </c:pt>
              </c:numCache>
            </c:numRef>
          </c:val>
          <c:smooth val="0"/>
        </c:ser>
        <c:ser>
          <c:idx val="3"/>
          <c:order val="3"/>
          <c:tx>
            <c:strRef>
              <c:f>'Data Driven_Features'!$V$4</c:f>
              <c:strCache>
                <c:ptCount val="1"/>
                <c:pt idx="0">
                  <c:v>LargeRDFBench-Mean</c:v>
                </c:pt>
              </c:strCache>
            </c:strRef>
          </c:tx>
          <c:spPr>
            <a:ln w="22225" cap="rnd">
              <a:solidFill>
                <a:schemeClr val="accent4"/>
              </a:solidFill>
              <a:prstDash val="lgDash"/>
              <a:round/>
            </a:ln>
            <a:effectLst/>
          </c:spPr>
          <c:marker>
            <c:symbol val="none"/>
          </c:marker>
          <c:cat>
            <c:strRef>
              <c:f>'Data Driven_Features'!$L$5:$L$36</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Driven_Features'!$V$5:$V$36</c:f>
              <c:numCache>
                <c:formatCode>General</c:formatCode>
                <c:ptCount val="32"/>
                <c:pt idx="0">
                  <c:v>6.0625</c:v>
                </c:pt>
                <c:pt idx="1">
                  <c:v>6.0625</c:v>
                </c:pt>
                <c:pt idx="2">
                  <c:v>6.0625</c:v>
                </c:pt>
                <c:pt idx="3">
                  <c:v>6.0625</c:v>
                </c:pt>
                <c:pt idx="4">
                  <c:v>6.0625</c:v>
                </c:pt>
                <c:pt idx="5">
                  <c:v>6.0625</c:v>
                </c:pt>
                <c:pt idx="6">
                  <c:v>6.0625</c:v>
                </c:pt>
                <c:pt idx="7">
                  <c:v>6.0625</c:v>
                </c:pt>
                <c:pt idx="8">
                  <c:v>6.0625</c:v>
                </c:pt>
                <c:pt idx="9">
                  <c:v>6.0625</c:v>
                </c:pt>
                <c:pt idx="10">
                  <c:v>6.0625</c:v>
                </c:pt>
                <c:pt idx="11">
                  <c:v>6.0625</c:v>
                </c:pt>
                <c:pt idx="12">
                  <c:v>6.0625</c:v>
                </c:pt>
                <c:pt idx="13">
                  <c:v>6.0625</c:v>
                </c:pt>
                <c:pt idx="14">
                  <c:v>6.0625</c:v>
                </c:pt>
                <c:pt idx="15">
                  <c:v>6.0625</c:v>
                </c:pt>
                <c:pt idx="16">
                  <c:v>6.0625</c:v>
                </c:pt>
                <c:pt idx="17">
                  <c:v>6.0625</c:v>
                </c:pt>
                <c:pt idx="18">
                  <c:v>6.0625</c:v>
                </c:pt>
                <c:pt idx="19">
                  <c:v>6.0625</c:v>
                </c:pt>
                <c:pt idx="20">
                  <c:v>6.0625</c:v>
                </c:pt>
                <c:pt idx="21">
                  <c:v>6.0625</c:v>
                </c:pt>
                <c:pt idx="22">
                  <c:v>6.0625</c:v>
                </c:pt>
                <c:pt idx="23">
                  <c:v>6.0625</c:v>
                </c:pt>
                <c:pt idx="24">
                  <c:v>6.0625</c:v>
                </c:pt>
                <c:pt idx="25">
                  <c:v>6.0625</c:v>
                </c:pt>
                <c:pt idx="26">
                  <c:v>6.0625</c:v>
                </c:pt>
                <c:pt idx="27">
                  <c:v>6.0625</c:v>
                </c:pt>
                <c:pt idx="28">
                  <c:v>6.0625</c:v>
                </c:pt>
                <c:pt idx="29">
                  <c:v>6.0625</c:v>
                </c:pt>
                <c:pt idx="30">
                  <c:v>6.0625</c:v>
                </c:pt>
                <c:pt idx="31">
                  <c:v>6.0625</c:v>
                </c:pt>
              </c:numCache>
            </c:numRef>
          </c:val>
          <c:smooth val="0"/>
        </c:ser>
        <c:dLbls>
          <c:showLegendKey val="0"/>
          <c:showVal val="0"/>
          <c:showCatName val="0"/>
          <c:showSerName val="0"/>
          <c:showPercent val="0"/>
          <c:showBubbleSize val="0"/>
        </c:dLbls>
        <c:marker val="1"/>
        <c:smooth val="0"/>
        <c:axId val="217784656"/>
        <c:axId val="217785216"/>
      </c:lineChart>
      <c:catAx>
        <c:axId val="2177846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7785216"/>
        <c:crosses val="autoZero"/>
        <c:auto val="1"/>
        <c:lblAlgn val="ctr"/>
        <c:lblOffset val="100"/>
        <c:noMultiLvlLbl val="0"/>
      </c:catAx>
      <c:valAx>
        <c:axId val="21778521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#Relevant Sources</a:t>
                </a:r>
              </a:p>
            </c:rich>
          </c:tx>
          <c:layout>
            <c:manualLayout>
              <c:xMode val="edge"/>
              <c:yMode val="edge"/>
              <c:x val="2.6129536918823065E-3"/>
              <c:y val="0.2555715790264104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784656"/>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1187876926755687"/>
          <c:y val="5.1919896337342626E-2"/>
          <c:w val="0.39895442164400774"/>
          <c:h val="0.2415327388345173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70050911463569"/>
          <c:y val="2.707342329474887E-2"/>
          <c:w val="0.83291044493374111"/>
          <c:h val="0.88322468515574548"/>
        </c:manualLayout>
      </c:layout>
      <c:barChart>
        <c:barDir val="col"/>
        <c:grouping val="clustered"/>
        <c:varyColors val="0"/>
        <c:ser>
          <c:idx val="0"/>
          <c:order val="0"/>
          <c:tx>
            <c:strRef>
              <c:f>'Data Driven_Features'!$Y$41</c:f>
              <c:strCache>
                <c:ptCount val="1"/>
                <c:pt idx="0">
                  <c:v>FedBench</c:v>
                </c:pt>
              </c:strCache>
            </c:strRef>
          </c:tx>
          <c:spPr>
            <a:solidFill>
              <a:schemeClr val="accent1"/>
            </a:solidFill>
            <a:ln>
              <a:noFill/>
            </a:ln>
            <a:effectLst/>
          </c:spPr>
          <c:invertIfNegative val="0"/>
          <c:cat>
            <c:strRef>
              <c:f>'Data Driven_Features'!$X$42:$X$73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Driven_Features'!$Y$42:$Y$73</c:f>
              <c:numCache>
                <c:formatCode>General</c:formatCode>
                <c:ptCount val="32"/>
                <c:pt idx="0">
                  <c:v>0.333334926764638</c:v>
                </c:pt>
                <c:pt idx="1">
                  <c:v>7.3916588828710304E-3</c:v>
                </c:pt>
                <c:pt idx="2">
                  <c:v>8.8895714325581202E-3</c:v>
                </c:pt>
                <c:pt idx="3">
                  <c:v>1.9295158413252501E-2</c:v>
                </c:pt>
                <c:pt idx="4">
                  <c:v>6.1693762653360004E-3</c:v>
                </c:pt>
                <c:pt idx="5">
                  <c:v>1.9395936545627698E-2</c:v>
                </c:pt>
                <c:pt idx="6">
                  <c:v>2.0198747403503799E-2</c:v>
                </c:pt>
                <c:pt idx="7">
                  <c:v>1.1208399999999999E-3</c:v>
                </c:pt>
                <c:pt idx="8">
                  <c:v>0.333544800392503</c:v>
                </c:pt>
                <c:pt idx="9">
                  <c:v>1.6010968318477301E-2</c:v>
                </c:pt>
                <c:pt idx="10">
                  <c:v>6.62849166220905E-3</c:v>
                </c:pt>
                <c:pt idx="11">
                  <c:v>1.2174230318439699E-2</c:v>
                </c:pt>
                <c:pt idx="12">
                  <c:v>1.4815076195692899E-2</c:v>
                </c:pt>
                <c:pt idx="13">
                  <c:v>1.2452044721721499E-2</c:v>
                </c:pt>
              </c:numCache>
            </c:numRef>
          </c:val>
        </c:ser>
        <c:dLbls>
          <c:showLegendKey val="0"/>
          <c:showVal val="0"/>
          <c:showCatName val="0"/>
          <c:showSerName val="0"/>
          <c:showPercent val="0"/>
          <c:showBubbleSize val="0"/>
        </c:dLbls>
        <c:gapWidth val="247"/>
        <c:axId val="218128928"/>
        <c:axId val="218129488"/>
      </c:barChart>
      <c:lineChart>
        <c:grouping val="standard"/>
        <c:varyColors val="0"/>
        <c:ser>
          <c:idx val="1"/>
          <c:order val="1"/>
          <c:tx>
            <c:strRef>
              <c:f>'Data Driven_Features'!$Z$41</c:f>
              <c:strCache>
                <c:ptCount val="1"/>
                <c:pt idx="0">
                  <c:v>LargeRDFBench</c:v>
                </c:pt>
              </c:strCache>
            </c:strRef>
          </c:tx>
          <c:spPr>
            <a:ln w="22225" cap="rnd">
              <a:solidFill>
                <a:schemeClr val="accent3">
                  <a:lumMod val="75000"/>
                </a:schemeClr>
              </a:solidFill>
              <a:round/>
            </a:ln>
            <a:effectLst/>
          </c:spPr>
          <c:marker>
            <c:symbol val="none"/>
          </c:marker>
          <c:errBars>
            <c:errDir val="y"/>
            <c:errBarType val="plus"/>
            <c:errValType val="cust"/>
            <c:noEndCap val="0"/>
            <c:plus>
              <c:numRef>
                <c:f>'Data Driven_Features'!$AD$42:$AD$73</c:f>
                <c:numCache>
                  <c:formatCode>General</c:formatCode>
                  <c:ptCount val="32"/>
                  <c:pt idx="0">
                    <c:v>0.57734888923794103</c:v>
                  </c:pt>
                  <c:pt idx="1">
                    <c:v>1.28001249886763E-2</c:v>
                  </c:pt>
                  <c:pt idx="2">
                    <c:v>1.17434079056025E-2</c:v>
                  </c:pt>
                  <c:pt idx="3">
                    <c:v>1.1637102287803699E-2</c:v>
                  </c:pt>
                  <c:pt idx="4">
                    <c:v>1.0138340331367599E-2</c:v>
                  </c:pt>
                  <c:pt idx="5">
                    <c:v>1.7605356510124501E-2</c:v>
                  </c:pt>
                  <c:pt idx="6">
                    <c:v>1.5335110490211501E-2</c:v>
                  </c:pt>
                  <c:pt idx="7">
                    <c:v>1.5851070000000001E-3</c:v>
                  </c:pt>
                  <c:pt idx="8">
                    <c:v>0.57716721120390002</c:v>
                  </c:pt>
                  <c:pt idx="9">
                    <c:v>8.9269497975264494E-3</c:v>
                  </c:pt>
                  <c:pt idx="10">
                    <c:v>7.4170772554221004E-3</c:v>
                  </c:pt>
                  <c:pt idx="11">
                    <c:v>8.5514545355067292E-3</c:v>
                  </c:pt>
                  <c:pt idx="12">
                    <c:v>1.5589935159129801E-2</c:v>
                  </c:pt>
                  <c:pt idx="13">
                    <c:v>1.48394447644138E-2</c:v>
                  </c:pt>
                  <c:pt idx="14">
                    <c:v>8.55962285729156E-3</c:v>
                  </c:pt>
                  <c:pt idx="15">
                    <c:v>8.0409787742798892E-3</c:v>
                  </c:pt>
                  <c:pt idx="16">
                    <c:v>1.47078906056638E-2</c:v>
                  </c:pt>
                  <c:pt idx="17">
                    <c:v>1.5408136627714401E-2</c:v>
                  </c:pt>
                  <c:pt idx="18">
                    <c:v>1.86079392670375E-2</c:v>
                  </c:pt>
                  <c:pt idx="19">
                    <c:v>7.0587250598913203E-3</c:v>
                  </c:pt>
                  <c:pt idx="20">
                    <c:v>1.39318952005539E-2</c:v>
                  </c:pt>
                  <c:pt idx="21">
                    <c:v>1.8444083250857699E-2</c:v>
                  </c:pt>
                  <c:pt idx="22">
                    <c:v>8.8030193910622594E-3</c:v>
                  </c:pt>
                  <c:pt idx="23">
                    <c:v>3.57522785935044E-3</c:v>
                  </c:pt>
                  <c:pt idx="24">
                    <c:v>0.40024049826035701</c:v>
                  </c:pt>
                  <c:pt idx="25">
                    <c:v>0.45296103125034698</c:v>
                  </c:pt>
                  <c:pt idx="26">
                    <c:v>0.427464001698181</c:v>
                  </c:pt>
                  <c:pt idx="27">
                    <c:v>0.42949024844177902</c:v>
                  </c:pt>
                  <c:pt idx="28">
                    <c:v>0.40471352344267297</c:v>
                  </c:pt>
                  <c:pt idx="29">
                    <c:v>0.33925135372287502</c:v>
                  </c:pt>
                  <c:pt idx="30">
                    <c:v>0.44682464178755998</c:v>
                  </c:pt>
                  <c:pt idx="31">
                    <c:v>0.38255436417319399</c:v>
                  </c:pt>
                </c:numCache>
              </c:numRef>
            </c:plus>
            <c:minus>
              <c:numRef>
                <c:f>'Data Driven_Features'!$AD$42:$AD$73</c:f>
                <c:numCache>
                  <c:formatCode>General</c:formatCode>
                  <c:ptCount val="32"/>
                  <c:pt idx="0">
                    <c:v>0.57734888923794103</c:v>
                  </c:pt>
                  <c:pt idx="1">
                    <c:v>1.28001249886763E-2</c:v>
                  </c:pt>
                  <c:pt idx="2">
                    <c:v>1.17434079056025E-2</c:v>
                  </c:pt>
                  <c:pt idx="3">
                    <c:v>1.1637102287803699E-2</c:v>
                  </c:pt>
                  <c:pt idx="4">
                    <c:v>1.0138340331367599E-2</c:v>
                  </c:pt>
                  <c:pt idx="5">
                    <c:v>1.7605356510124501E-2</c:v>
                  </c:pt>
                  <c:pt idx="6">
                    <c:v>1.5335110490211501E-2</c:v>
                  </c:pt>
                  <c:pt idx="7">
                    <c:v>1.5851070000000001E-3</c:v>
                  </c:pt>
                  <c:pt idx="8">
                    <c:v>0.57716721120390002</c:v>
                  </c:pt>
                  <c:pt idx="9">
                    <c:v>8.9269497975264494E-3</c:v>
                  </c:pt>
                  <c:pt idx="10">
                    <c:v>7.4170772554221004E-3</c:v>
                  </c:pt>
                  <c:pt idx="11">
                    <c:v>8.5514545355067292E-3</c:v>
                  </c:pt>
                  <c:pt idx="12">
                    <c:v>1.5589935159129801E-2</c:v>
                  </c:pt>
                  <c:pt idx="13">
                    <c:v>1.48394447644138E-2</c:v>
                  </c:pt>
                  <c:pt idx="14">
                    <c:v>8.55962285729156E-3</c:v>
                  </c:pt>
                  <c:pt idx="15">
                    <c:v>8.0409787742798892E-3</c:v>
                  </c:pt>
                  <c:pt idx="16">
                    <c:v>1.47078906056638E-2</c:v>
                  </c:pt>
                  <c:pt idx="17">
                    <c:v>1.5408136627714401E-2</c:v>
                  </c:pt>
                  <c:pt idx="18">
                    <c:v>1.86079392670375E-2</c:v>
                  </c:pt>
                  <c:pt idx="19">
                    <c:v>7.0587250598913203E-3</c:v>
                  </c:pt>
                  <c:pt idx="20">
                    <c:v>1.39318952005539E-2</c:v>
                  </c:pt>
                  <c:pt idx="21">
                    <c:v>1.8444083250857699E-2</c:v>
                  </c:pt>
                  <c:pt idx="22">
                    <c:v>8.8030193910622594E-3</c:v>
                  </c:pt>
                  <c:pt idx="23">
                    <c:v>3.57522785935044E-3</c:v>
                  </c:pt>
                  <c:pt idx="24">
                    <c:v>0.40024049826035701</c:v>
                  </c:pt>
                  <c:pt idx="25">
                    <c:v>0.45296103125034698</c:v>
                  </c:pt>
                  <c:pt idx="26">
                    <c:v>0.427464001698181</c:v>
                  </c:pt>
                  <c:pt idx="27">
                    <c:v>0.42949024844177902</c:v>
                  </c:pt>
                  <c:pt idx="28">
                    <c:v>0.40471352344267297</c:v>
                  </c:pt>
                  <c:pt idx="29">
                    <c:v>0.33925135372287502</c:v>
                  </c:pt>
                  <c:pt idx="30">
                    <c:v>0.44682464178755998</c:v>
                  </c:pt>
                  <c:pt idx="31">
                    <c:v>0.38255436417319399</c:v>
                  </c:pt>
                </c:numCache>
              </c:numRef>
            </c:minus>
            <c:spPr>
              <a:noFill/>
              <a:ln w="9525" cap="flat" cmpd="sng" algn="ctr">
                <a:solidFill>
                  <a:schemeClr val="dk1">
                    <a:lumMod val="50000"/>
                    <a:lumOff val="50000"/>
                  </a:schemeClr>
                </a:solidFill>
                <a:round/>
              </a:ln>
              <a:effectLst/>
            </c:spPr>
          </c:errBars>
          <c:cat>
            <c:strRef>
              <c:f>'Data Driven_Features'!$X$42:$X$73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Driven_Features'!$Z$42:$Z$73</c:f>
              <c:numCache>
                <c:formatCode>General</c:formatCode>
                <c:ptCount val="32"/>
                <c:pt idx="0">
                  <c:v>0.333334926764638</c:v>
                </c:pt>
                <c:pt idx="1">
                  <c:v>7.3916588828710304E-3</c:v>
                </c:pt>
                <c:pt idx="2">
                  <c:v>8.8895714325581202E-3</c:v>
                </c:pt>
                <c:pt idx="3">
                  <c:v>1.9295158413252501E-2</c:v>
                </c:pt>
                <c:pt idx="4">
                  <c:v>6.1693762653360004E-3</c:v>
                </c:pt>
                <c:pt idx="5">
                  <c:v>1.9395936545627698E-2</c:v>
                </c:pt>
                <c:pt idx="6">
                  <c:v>2.0198747403503799E-2</c:v>
                </c:pt>
                <c:pt idx="7">
                  <c:v>1.1208399999999999E-3</c:v>
                </c:pt>
                <c:pt idx="8">
                  <c:v>0.333544800392503</c:v>
                </c:pt>
                <c:pt idx="9">
                  <c:v>1.6010968318477301E-2</c:v>
                </c:pt>
                <c:pt idx="10">
                  <c:v>6.62849166220905E-3</c:v>
                </c:pt>
                <c:pt idx="11">
                  <c:v>1.2174230318439699E-2</c:v>
                </c:pt>
                <c:pt idx="12">
                  <c:v>1.4815076195692899E-2</c:v>
                </c:pt>
                <c:pt idx="13">
                  <c:v>1.2452044721721499E-2</c:v>
                </c:pt>
                <c:pt idx="14">
                  <c:v>1.0779221924309501E-2</c:v>
                </c:pt>
                <c:pt idx="15">
                  <c:v>9.7246597620519303E-3</c:v>
                </c:pt>
                <c:pt idx="16">
                  <c:v>2.0214493483209601E-2</c:v>
                </c:pt>
                <c:pt idx="17">
                  <c:v>1.24126951382893E-2</c:v>
                </c:pt>
                <c:pt idx="18">
                  <c:v>1.86552281437928E-2</c:v>
                </c:pt>
                <c:pt idx="19">
                  <c:v>2.29711319545319E-2</c:v>
                </c:pt>
                <c:pt idx="20">
                  <c:v>1.48157491560341E-2</c:v>
                </c:pt>
                <c:pt idx="21">
                  <c:v>1.2449596207413999E-2</c:v>
                </c:pt>
                <c:pt idx="22">
                  <c:v>1.10726203164012E-2</c:v>
                </c:pt>
                <c:pt idx="23">
                  <c:v>2.71204835184931E-3</c:v>
                </c:pt>
                <c:pt idx="24">
                  <c:v>0.19222037047243401</c:v>
                </c:pt>
                <c:pt idx="25">
                  <c:v>0.28678673867870103</c:v>
                </c:pt>
                <c:pt idx="26">
                  <c:v>0.24582271416489901</c:v>
                </c:pt>
                <c:pt idx="27">
                  <c:v>0.30567551280773397</c:v>
                </c:pt>
                <c:pt idx="28">
                  <c:v>0.48588229588800702</c:v>
                </c:pt>
                <c:pt idx="29">
                  <c:v>0.34952897503094099</c:v>
                </c:pt>
                <c:pt idx="30">
                  <c:v>0.20069629013367599</c:v>
                </c:pt>
                <c:pt idx="31">
                  <c:v>0.27809356307317201</c:v>
                </c:pt>
              </c:numCache>
            </c:numRef>
          </c:val>
          <c:smooth val="0"/>
        </c:ser>
        <c:dLbls>
          <c:showLegendKey val="0"/>
          <c:showVal val="0"/>
          <c:showCatName val="0"/>
          <c:showSerName val="0"/>
          <c:showPercent val="0"/>
          <c:showBubbleSize val="0"/>
        </c:dLbls>
        <c:marker val="1"/>
        <c:smooth val="0"/>
        <c:axId val="218128928"/>
        <c:axId val="218129488"/>
      </c:lineChart>
      <c:catAx>
        <c:axId val="2181289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8129488"/>
        <c:crosses val="autoZero"/>
        <c:auto val="1"/>
        <c:lblAlgn val="ctr"/>
        <c:lblOffset val="100"/>
        <c:noMultiLvlLbl val="0"/>
      </c:catAx>
      <c:valAx>
        <c:axId val="2181294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 Mean</a:t>
                </a:r>
                <a:r>
                  <a:rPr lang="en-US" baseline="0">
                    <a:solidFill>
                      <a:schemeClr val="tx1"/>
                    </a:solidFill>
                  </a:rPr>
                  <a:t> </a:t>
                </a:r>
                <a:r>
                  <a:rPr lang="en-US">
                    <a:solidFill>
                      <a:schemeClr val="tx1"/>
                    </a:solidFill>
                  </a:rPr>
                  <a:t> Triple Pattern Selectivity</a:t>
                </a:r>
              </a:p>
            </c:rich>
          </c:tx>
          <c:layout>
            <c:manualLayout>
              <c:xMode val="edge"/>
              <c:yMode val="edge"/>
              <c:x val="9.9590145798885994E-3"/>
              <c:y val="0.1613378862586318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128928"/>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38824510038984017"/>
          <c:y val="3.9432379899647277E-2"/>
          <c:w val="0.32268346767137973"/>
          <c:h val="0.147258774653485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25615317847006"/>
          <c:y val="2.707338035466577E-2"/>
          <c:w val="0.845552267762542"/>
          <c:h val="0.88322468515574548"/>
        </c:manualLayout>
      </c:layout>
      <c:barChart>
        <c:barDir val="col"/>
        <c:grouping val="clustered"/>
        <c:varyColors val="0"/>
        <c:ser>
          <c:idx val="0"/>
          <c:order val="0"/>
          <c:tx>
            <c:strRef>
              <c:f>'Data Driven_Features'!$Y$41</c:f>
              <c:strCache>
                <c:ptCount val="1"/>
                <c:pt idx="0">
                  <c:v>FedBench</c:v>
                </c:pt>
              </c:strCache>
            </c:strRef>
          </c:tx>
          <c:spPr>
            <a:solidFill>
              <a:schemeClr val="accent1"/>
            </a:solidFill>
            <a:ln>
              <a:noFill/>
            </a:ln>
            <a:effectLst/>
          </c:spPr>
          <c:invertIfNegative val="0"/>
          <c:cat>
            <c:strRef>
              <c:f>'Data Driven_Features'!$X$42:$X$73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Driven_Features'!$Y$42:$Y$73</c:f>
              <c:numCache>
                <c:formatCode>General</c:formatCode>
                <c:ptCount val="32"/>
                <c:pt idx="0">
                  <c:v>0.333334926764638</c:v>
                </c:pt>
                <c:pt idx="1">
                  <c:v>7.3916588828710304E-3</c:v>
                </c:pt>
                <c:pt idx="2">
                  <c:v>8.8895714325581202E-3</c:v>
                </c:pt>
                <c:pt idx="3">
                  <c:v>1.9295158413252501E-2</c:v>
                </c:pt>
                <c:pt idx="4">
                  <c:v>6.1693762653360004E-3</c:v>
                </c:pt>
                <c:pt idx="5">
                  <c:v>1.9395936545627698E-2</c:v>
                </c:pt>
                <c:pt idx="6">
                  <c:v>2.0198747403503799E-2</c:v>
                </c:pt>
                <c:pt idx="7">
                  <c:v>1.1208399999999999E-3</c:v>
                </c:pt>
                <c:pt idx="8">
                  <c:v>0.333544800392503</c:v>
                </c:pt>
                <c:pt idx="9">
                  <c:v>1.6010968318477301E-2</c:v>
                </c:pt>
                <c:pt idx="10">
                  <c:v>6.62849166220905E-3</c:v>
                </c:pt>
                <c:pt idx="11">
                  <c:v>1.2174230318439699E-2</c:v>
                </c:pt>
                <c:pt idx="12">
                  <c:v>1.4815076195692899E-2</c:v>
                </c:pt>
                <c:pt idx="13">
                  <c:v>1.2452044721721499E-2</c:v>
                </c:pt>
              </c:numCache>
            </c:numRef>
          </c:val>
        </c:ser>
        <c:dLbls>
          <c:showLegendKey val="0"/>
          <c:showVal val="0"/>
          <c:showCatName val="0"/>
          <c:showSerName val="0"/>
          <c:showPercent val="0"/>
          <c:showBubbleSize val="0"/>
        </c:dLbls>
        <c:gapWidth val="150"/>
        <c:axId val="218132848"/>
        <c:axId val="218133408"/>
      </c:barChart>
      <c:lineChart>
        <c:grouping val="standard"/>
        <c:varyColors val="0"/>
        <c:ser>
          <c:idx val="1"/>
          <c:order val="1"/>
          <c:tx>
            <c:strRef>
              <c:f>'Data Driven_Features'!$Z$41</c:f>
              <c:strCache>
                <c:ptCount val="1"/>
                <c:pt idx="0">
                  <c:v>LargeRDFBench</c:v>
                </c:pt>
              </c:strCache>
            </c:strRef>
          </c:tx>
          <c:spPr>
            <a:ln w="22225" cap="rnd">
              <a:solidFill>
                <a:schemeClr val="accent3">
                  <a:lumMod val="75000"/>
                </a:schemeClr>
              </a:solidFill>
              <a:prstDash val="solid"/>
              <a:round/>
            </a:ln>
            <a:effectLst/>
          </c:spPr>
          <c:marker>
            <c:symbol val="none"/>
          </c:marker>
          <c:errBars>
            <c:errDir val="y"/>
            <c:errBarType val="plus"/>
            <c:errValType val="cust"/>
            <c:noEndCap val="0"/>
            <c:plus>
              <c:numRef>
                <c:f>'Data Driven_Features'!$AD$42:$AD$73</c:f>
                <c:numCache>
                  <c:formatCode>General</c:formatCode>
                  <c:ptCount val="32"/>
                  <c:pt idx="0">
                    <c:v>0.57734888923794103</c:v>
                  </c:pt>
                  <c:pt idx="1">
                    <c:v>1.28001249886763E-2</c:v>
                  </c:pt>
                  <c:pt idx="2">
                    <c:v>1.17434079056025E-2</c:v>
                  </c:pt>
                  <c:pt idx="3">
                    <c:v>1.1637102287803699E-2</c:v>
                  </c:pt>
                  <c:pt idx="4">
                    <c:v>1.0138340331367599E-2</c:v>
                  </c:pt>
                  <c:pt idx="5">
                    <c:v>1.7605356510124501E-2</c:v>
                  </c:pt>
                  <c:pt idx="6">
                    <c:v>1.5335110490211501E-2</c:v>
                  </c:pt>
                  <c:pt idx="7">
                    <c:v>1.5851070000000001E-3</c:v>
                  </c:pt>
                  <c:pt idx="8">
                    <c:v>0.57716721120390002</c:v>
                  </c:pt>
                  <c:pt idx="9">
                    <c:v>8.9269497975264494E-3</c:v>
                  </c:pt>
                  <c:pt idx="10">
                    <c:v>7.4170772554221004E-3</c:v>
                  </c:pt>
                  <c:pt idx="11">
                    <c:v>8.5514545355067292E-3</c:v>
                  </c:pt>
                  <c:pt idx="12">
                    <c:v>1.5589935159129801E-2</c:v>
                  </c:pt>
                  <c:pt idx="13">
                    <c:v>1.48394447644138E-2</c:v>
                  </c:pt>
                  <c:pt idx="14">
                    <c:v>8.55962285729156E-3</c:v>
                  </c:pt>
                  <c:pt idx="15">
                    <c:v>8.0409787742798892E-3</c:v>
                  </c:pt>
                  <c:pt idx="16">
                    <c:v>1.47078906056638E-2</c:v>
                  </c:pt>
                  <c:pt idx="17">
                    <c:v>1.5408136627714401E-2</c:v>
                  </c:pt>
                  <c:pt idx="18">
                    <c:v>1.86079392670375E-2</c:v>
                  </c:pt>
                  <c:pt idx="19">
                    <c:v>7.0587250598913203E-3</c:v>
                  </c:pt>
                  <c:pt idx="20">
                    <c:v>1.39318952005539E-2</c:v>
                  </c:pt>
                  <c:pt idx="21">
                    <c:v>1.8444083250857699E-2</c:v>
                  </c:pt>
                  <c:pt idx="22">
                    <c:v>8.8030193910622594E-3</c:v>
                  </c:pt>
                  <c:pt idx="23">
                    <c:v>3.57522785935044E-3</c:v>
                  </c:pt>
                  <c:pt idx="24">
                    <c:v>0.40024049826035701</c:v>
                  </c:pt>
                  <c:pt idx="25">
                    <c:v>0.45296103125034698</c:v>
                  </c:pt>
                  <c:pt idx="26">
                    <c:v>0.427464001698181</c:v>
                  </c:pt>
                  <c:pt idx="27">
                    <c:v>0.42949024844177902</c:v>
                  </c:pt>
                  <c:pt idx="28">
                    <c:v>0.40471352344267297</c:v>
                  </c:pt>
                  <c:pt idx="29">
                    <c:v>0.33925135372287502</c:v>
                  </c:pt>
                  <c:pt idx="30">
                    <c:v>0.44682464178755998</c:v>
                  </c:pt>
                  <c:pt idx="31">
                    <c:v>0.38255436417319399</c:v>
                  </c:pt>
                </c:numCache>
              </c:numRef>
            </c:plus>
            <c:minus>
              <c:numRef>
                <c:f>'Data Driven_Features'!$AD$42:$AD$73</c:f>
                <c:numCache>
                  <c:formatCode>General</c:formatCode>
                  <c:ptCount val="32"/>
                  <c:pt idx="0">
                    <c:v>0.57734888923794103</c:v>
                  </c:pt>
                  <c:pt idx="1">
                    <c:v>1.28001249886763E-2</c:v>
                  </c:pt>
                  <c:pt idx="2">
                    <c:v>1.17434079056025E-2</c:v>
                  </c:pt>
                  <c:pt idx="3">
                    <c:v>1.1637102287803699E-2</c:v>
                  </c:pt>
                  <c:pt idx="4">
                    <c:v>1.0138340331367599E-2</c:v>
                  </c:pt>
                  <c:pt idx="5">
                    <c:v>1.7605356510124501E-2</c:v>
                  </c:pt>
                  <c:pt idx="6">
                    <c:v>1.5335110490211501E-2</c:v>
                  </c:pt>
                  <c:pt idx="7">
                    <c:v>1.5851070000000001E-3</c:v>
                  </c:pt>
                  <c:pt idx="8">
                    <c:v>0.57716721120390002</c:v>
                  </c:pt>
                  <c:pt idx="9">
                    <c:v>8.9269497975264494E-3</c:v>
                  </c:pt>
                  <c:pt idx="10">
                    <c:v>7.4170772554221004E-3</c:v>
                  </c:pt>
                  <c:pt idx="11">
                    <c:v>8.5514545355067292E-3</c:v>
                  </c:pt>
                  <c:pt idx="12">
                    <c:v>1.5589935159129801E-2</c:v>
                  </c:pt>
                  <c:pt idx="13">
                    <c:v>1.48394447644138E-2</c:v>
                  </c:pt>
                  <c:pt idx="14">
                    <c:v>8.55962285729156E-3</c:v>
                  </c:pt>
                  <c:pt idx="15">
                    <c:v>8.0409787742798892E-3</c:v>
                  </c:pt>
                  <c:pt idx="16">
                    <c:v>1.47078906056638E-2</c:v>
                  </c:pt>
                  <c:pt idx="17">
                    <c:v>1.5408136627714401E-2</c:v>
                  </c:pt>
                  <c:pt idx="18">
                    <c:v>1.86079392670375E-2</c:v>
                  </c:pt>
                  <c:pt idx="19">
                    <c:v>7.0587250598913203E-3</c:v>
                  </c:pt>
                  <c:pt idx="20">
                    <c:v>1.39318952005539E-2</c:v>
                  </c:pt>
                  <c:pt idx="21">
                    <c:v>1.8444083250857699E-2</c:v>
                  </c:pt>
                  <c:pt idx="22">
                    <c:v>8.8030193910622594E-3</c:v>
                  </c:pt>
                  <c:pt idx="23">
                    <c:v>3.57522785935044E-3</c:v>
                  </c:pt>
                  <c:pt idx="24">
                    <c:v>0.40024049826035701</c:v>
                  </c:pt>
                  <c:pt idx="25">
                    <c:v>0.45296103125034698</c:v>
                  </c:pt>
                  <c:pt idx="26">
                    <c:v>0.427464001698181</c:v>
                  </c:pt>
                  <c:pt idx="27">
                    <c:v>0.42949024844177902</c:v>
                  </c:pt>
                  <c:pt idx="28">
                    <c:v>0.40471352344267297</c:v>
                  </c:pt>
                  <c:pt idx="29">
                    <c:v>0.33925135372287502</c:v>
                  </c:pt>
                  <c:pt idx="30">
                    <c:v>0.44682464178755998</c:v>
                  </c:pt>
                  <c:pt idx="31">
                    <c:v>0.38255436417319399</c:v>
                  </c:pt>
                </c:numCache>
              </c:numRef>
            </c:minus>
            <c:spPr>
              <a:noFill/>
              <a:ln w="9525" cap="flat" cmpd="sng" algn="ctr">
                <a:solidFill>
                  <a:schemeClr val="dk1">
                    <a:lumMod val="50000"/>
                    <a:lumOff val="50000"/>
                  </a:schemeClr>
                </a:solidFill>
                <a:round/>
              </a:ln>
              <a:effectLst/>
            </c:spPr>
          </c:errBars>
          <c:cat>
            <c:strRef>
              <c:f>'Data Driven_Features'!$X$42:$X$73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Driven_Features'!$Z$42:$Z$73</c:f>
              <c:numCache>
                <c:formatCode>General</c:formatCode>
                <c:ptCount val="32"/>
                <c:pt idx="0">
                  <c:v>0.333334926764638</c:v>
                </c:pt>
                <c:pt idx="1">
                  <c:v>7.3916588828710304E-3</c:v>
                </c:pt>
                <c:pt idx="2">
                  <c:v>8.8895714325581202E-3</c:v>
                </c:pt>
                <c:pt idx="3">
                  <c:v>1.9295158413252501E-2</c:v>
                </c:pt>
                <c:pt idx="4">
                  <c:v>6.1693762653360004E-3</c:v>
                </c:pt>
                <c:pt idx="5">
                  <c:v>1.9395936545627698E-2</c:v>
                </c:pt>
                <c:pt idx="6">
                  <c:v>2.0198747403503799E-2</c:v>
                </c:pt>
                <c:pt idx="7">
                  <c:v>1.1208399999999999E-3</c:v>
                </c:pt>
                <c:pt idx="8">
                  <c:v>0.333544800392503</c:v>
                </c:pt>
                <c:pt idx="9">
                  <c:v>1.6010968318477301E-2</c:v>
                </c:pt>
                <c:pt idx="10">
                  <c:v>6.62849166220905E-3</c:v>
                </c:pt>
                <c:pt idx="11">
                  <c:v>1.2174230318439699E-2</c:v>
                </c:pt>
                <c:pt idx="12">
                  <c:v>1.4815076195692899E-2</c:v>
                </c:pt>
                <c:pt idx="13">
                  <c:v>1.2452044721721499E-2</c:v>
                </c:pt>
                <c:pt idx="14">
                  <c:v>1.0779221924309501E-2</c:v>
                </c:pt>
                <c:pt idx="15">
                  <c:v>9.7246597620519303E-3</c:v>
                </c:pt>
                <c:pt idx="16">
                  <c:v>2.0214493483209601E-2</c:v>
                </c:pt>
                <c:pt idx="17">
                  <c:v>1.24126951382893E-2</c:v>
                </c:pt>
                <c:pt idx="18">
                  <c:v>1.86552281437928E-2</c:v>
                </c:pt>
                <c:pt idx="19">
                  <c:v>2.29711319545319E-2</c:v>
                </c:pt>
                <c:pt idx="20">
                  <c:v>1.48157491560341E-2</c:v>
                </c:pt>
                <c:pt idx="21">
                  <c:v>1.2449596207413999E-2</c:v>
                </c:pt>
                <c:pt idx="22">
                  <c:v>1.10726203164012E-2</c:v>
                </c:pt>
                <c:pt idx="23">
                  <c:v>2.71204835184931E-3</c:v>
                </c:pt>
                <c:pt idx="24">
                  <c:v>0.19222037047243401</c:v>
                </c:pt>
                <c:pt idx="25">
                  <c:v>0.28678673867870103</c:v>
                </c:pt>
                <c:pt idx="26">
                  <c:v>0.24582271416489901</c:v>
                </c:pt>
                <c:pt idx="27">
                  <c:v>0.30567551280773397</c:v>
                </c:pt>
                <c:pt idx="28">
                  <c:v>0.48588229588800702</c:v>
                </c:pt>
                <c:pt idx="29">
                  <c:v>0.34952897503094099</c:v>
                </c:pt>
                <c:pt idx="30">
                  <c:v>0.20069629013367599</c:v>
                </c:pt>
                <c:pt idx="31">
                  <c:v>0.27809356307317201</c:v>
                </c:pt>
              </c:numCache>
            </c:numRef>
          </c:val>
          <c:smooth val="0"/>
        </c:ser>
        <c:dLbls>
          <c:showLegendKey val="0"/>
          <c:showVal val="0"/>
          <c:showCatName val="0"/>
          <c:showSerName val="0"/>
          <c:showPercent val="0"/>
          <c:showBubbleSize val="0"/>
        </c:dLbls>
        <c:marker val="1"/>
        <c:smooth val="0"/>
        <c:axId val="218132848"/>
        <c:axId val="218133408"/>
      </c:lineChart>
      <c:catAx>
        <c:axId val="2181328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8133408"/>
        <c:crosses val="autoZero"/>
        <c:auto val="1"/>
        <c:lblAlgn val="ctr"/>
        <c:lblOffset val="100"/>
        <c:noMultiLvlLbl val="0"/>
      </c:catAx>
      <c:valAx>
        <c:axId val="2181334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Mean Triple Pattern Selectivity</a:t>
                </a:r>
              </a:p>
            </c:rich>
          </c:tx>
          <c:layout>
            <c:manualLayout>
              <c:xMode val="edge"/>
              <c:yMode val="edge"/>
              <c:x val="2.6128169168471156E-3"/>
              <c:y val="0.1742941620299071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132848"/>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39366161967462127"/>
          <c:y val="6.1662045431963831E-2"/>
          <c:w val="0.40273793365342314"/>
          <c:h val="0.157737282030900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52154463332275"/>
          <c:y val="2.707338035466577E-2"/>
          <c:w val="0.75988888568212642"/>
          <c:h val="0.88322468515574548"/>
        </c:manualLayout>
      </c:layout>
      <c:barChart>
        <c:barDir val="col"/>
        <c:grouping val="clustered"/>
        <c:varyColors val="0"/>
        <c:ser>
          <c:idx val="0"/>
          <c:order val="0"/>
          <c:tx>
            <c:strRef>
              <c:f>'Data Driven_Features'!$T$41</c:f>
              <c:strCache>
                <c:ptCount val="1"/>
                <c:pt idx="0">
                  <c:v>FedBench</c:v>
                </c:pt>
              </c:strCache>
            </c:strRef>
          </c:tx>
          <c:spPr>
            <a:solidFill>
              <a:schemeClr val="accent1"/>
            </a:solidFill>
            <a:ln>
              <a:noFill/>
            </a:ln>
            <a:effectLst/>
          </c:spPr>
          <c:invertIfNegative val="0"/>
          <c:cat>
            <c:strRef>
              <c:f>'Data Driven_Features'!$S$42:$S$73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Driven_Features'!$T$42:$T$73</c:f>
              <c:numCache>
                <c:formatCode>General</c:formatCode>
                <c:ptCount val="32"/>
                <c:pt idx="0">
                  <c:v>0.33333333366535101</c:v>
                </c:pt>
                <c:pt idx="1">
                  <c:v>0.33337818442770001</c:v>
                </c:pt>
                <c:pt idx="2" formatCode="0.00E+00">
                  <c:v>1.5343767423055401E-4</c:v>
                </c:pt>
                <c:pt idx="3">
                  <c:v>0.200029204567054</c:v>
                </c:pt>
                <c:pt idx="4" formatCode="0.00E+00">
                  <c:v>6.4050631388230599E-4</c:v>
                </c:pt>
                <c:pt idx="5">
                  <c:v>0.250011499746701</c:v>
                </c:pt>
                <c:pt idx="6">
                  <c:v>2.2666061138368102E-3</c:v>
                </c:pt>
                <c:pt idx="7">
                  <c:v>0</c:v>
                </c:pt>
                <c:pt idx="8">
                  <c:v>3.7037037369055503E-2</c:v>
                </c:pt>
                <c:pt idx="9" formatCode="0.00E+00">
                  <c:v>1.06009962304357E-4</c:v>
                </c:pt>
                <c:pt idx="10">
                  <c:v>4.7880629812860599E-2</c:v>
                </c:pt>
                <c:pt idx="11" formatCode="0.00E+00">
                  <c:v>2.0378038452455001E-4</c:v>
                </c:pt>
                <c:pt idx="12">
                  <c:v>4.2841969759898103E-3</c:v>
                </c:pt>
                <c:pt idx="13" formatCode="0.00E+00">
                  <c:v>2.60776807591051E-4</c:v>
                </c:pt>
              </c:numCache>
            </c:numRef>
          </c:val>
        </c:ser>
        <c:dLbls>
          <c:showLegendKey val="0"/>
          <c:showVal val="0"/>
          <c:showCatName val="0"/>
          <c:showSerName val="0"/>
          <c:showPercent val="0"/>
          <c:showBubbleSize val="0"/>
        </c:dLbls>
        <c:gapWidth val="150"/>
        <c:axId val="218592880"/>
        <c:axId val="218593440"/>
      </c:barChart>
      <c:lineChart>
        <c:grouping val="standard"/>
        <c:varyColors val="0"/>
        <c:ser>
          <c:idx val="1"/>
          <c:order val="1"/>
          <c:tx>
            <c:strRef>
              <c:f>'Data Driven_Features'!$U$41</c:f>
              <c:strCache>
                <c:ptCount val="1"/>
                <c:pt idx="0">
                  <c:v>LargeRDFBench</c:v>
                </c:pt>
              </c:strCache>
            </c:strRef>
          </c:tx>
          <c:spPr>
            <a:ln w="22225" cap="rnd">
              <a:solidFill>
                <a:schemeClr val="accent3">
                  <a:lumMod val="75000"/>
                </a:schemeClr>
              </a:solidFill>
              <a:prstDash val="solid"/>
              <a:round/>
            </a:ln>
            <a:effectLst/>
          </c:spPr>
          <c:marker>
            <c:symbol val="none"/>
          </c:marker>
          <c:errBars>
            <c:errDir val="y"/>
            <c:errBarType val="plus"/>
            <c:errValType val="cust"/>
            <c:noEndCap val="0"/>
            <c:plus>
              <c:numRef>
                <c:f>'Data Driven_Features'!$V$42:$V$73</c:f>
                <c:numCache>
                  <c:formatCode>General</c:formatCode>
                  <c:ptCount val="32"/>
                  <c:pt idx="0">
                    <c:v>0.70710678095177404</c:v>
                  </c:pt>
                  <c:pt idx="1">
                    <c:v>0.74529582815913298</c:v>
                  </c:pt>
                  <c:pt idx="2">
                    <c:v>2.5431627338707002E-4</c:v>
                  </c:pt>
                  <c:pt idx="3">
                    <c:v>0.49998654796893299</c:v>
                  </c:pt>
                  <c:pt idx="4">
                    <c:v>1.41137986097766E-3</c:v>
                  </c:pt>
                  <c:pt idx="5">
                    <c:v>0.49999233412338201</c:v>
                  </c:pt>
                  <c:pt idx="6">
                    <c:v>5.1358890804843599E-3</c:v>
                  </c:pt>
                  <c:pt idx="7">
                    <c:v>0</c:v>
                  </c:pt>
                  <c:pt idx="8">
                    <c:v>7.8567419897066004E-2</c:v>
                  </c:pt>
                  <c:pt idx="9">
                    <c:v>1.25790777040281E-4</c:v>
                  </c:pt>
                  <c:pt idx="10">
                    <c:v>0.136075851732363</c:v>
                  </c:pt>
                  <c:pt idx="11">
                    <c:v>3.5822389438063597E-4</c:v>
                  </c:pt>
                  <c:pt idx="12">
                    <c:v>1.0418393715501E-2</c:v>
                  </c:pt>
                  <c:pt idx="13">
                    <c:v>4.5612365544682199E-4</c:v>
                  </c:pt>
                  <c:pt idx="14">
                    <c:v>3.6581820656246203E-4</c:v>
                  </c:pt>
                  <c:pt idx="15">
                    <c:v>3.0693737895559002E-4</c:v>
                  </c:pt>
                  <c:pt idx="16">
                    <c:v>1.20448205759999E-4</c:v>
                  </c:pt>
                  <c:pt idx="17">
                    <c:v>1.1788940857852799E-3</c:v>
                  </c:pt>
                  <c:pt idx="18">
                    <c:v>2.8135022197322299E-5</c:v>
                  </c:pt>
                  <c:pt idx="19">
                    <c:v>8.6366784653467193E-5</c:v>
                  </c:pt>
                  <c:pt idx="20">
                    <c:v>0.35388756087981399</c:v>
                  </c:pt>
                  <c:pt idx="21">
                    <c:v>2.99069413385684E-3</c:v>
                  </c:pt>
                  <c:pt idx="22">
                    <c:v>3.56468859257412E-4</c:v>
                  </c:pt>
                  <c:pt idx="23">
                    <c:v>1.5145025020784301E-3</c:v>
                  </c:pt>
                  <c:pt idx="24">
                    <c:v>3.4850300676841502E-6</c:v>
                  </c:pt>
                  <c:pt idx="25">
                    <c:v>1.5760299393517601E-3</c:v>
                  </c:pt>
                  <c:pt idx="26">
                    <c:v>0.20412667509521901</c:v>
                  </c:pt>
                  <c:pt idx="27">
                    <c:v>1.63316233913049E-4</c:v>
                  </c:pt>
                  <c:pt idx="28">
                    <c:v>1.26494882110902E-2</c:v>
                  </c:pt>
                  <c:pt idx="29">
                    <c:v>9.80445699341553E-3</c:v>
                  </c:pt>
                  <c:pt idx="30">
                    <c:v>1.5362927146296901E-4</c:v>
                  </c:pt>
                  <c:pt idx="31">
                    <c:v>1.7160516138931601E-5</c:v>
                  </c:pt>
                </c:numCache>
              </c:numRef>
            </c:plus>
            <c:minus>
              <c:numRef>
                <c:f>'Data Driven_Features'!$V$42:$V$73</c:f>
                <c:numCache>
                  <c:formatCode>General</c:formatCode>
                  <c:ptCount val="32"/>
                  <c:pt idx="0">
                    <c:v>0.70710678095177404</c:v>
                  </c:pt>
                  <c:pt idx="1">
                    <c:v>0.74529582815913298</c:v>
                  </c:pt>
                  <c:pt idx="2">
                    <c:v>2.5431627338707002E-4</c:v>
                  </c:pt>
                  <c:pt idx="3">
                    <c:v>0.49998654796893299</c:v>
                  </c:pt>
                  <c:pt idx="4">
                    <c:v>1.41137986097766E-3</c:v>
                  </c:pt>
                  <c:pt idx="5">
                    <c:v>0.49999233412338201</c:v>
                  </c:pt>
                  <c:pt idx="6">
                    <c:v>5.1358890804843599E-3</c:v>
                  </c:pt>
                  <c:pt idx="7">
                    <c:v>0</c:v>
                  </c:pt>
                  <c:pt idx="8">
                    <c:v>7.8567419897066004E-2</c:v>
                  </c:pt>
                  <c:pt idx="9">
                    <c:v>1.25790777040281E-4</c:v>
                  </c:pt>
                  <c:pt idx="10">
                    <c:v>0.136075851732363</c:v>
                  </c:pt>
                  <c:pt idx="11">
                    <c:v>3.5822389438063597E-4</c:v>
                  </c:pt>
                  <c:pt idx="12">
                    <c:v>1.0418393715501E-2</c:v>
                  </c:pt>
                  <c:pt idx="13">
                    <c:v>4.5612365544682199E-4</c:v>
                  </c:pt>
                  <c:pt idx="14">
                    <c:v>3.6581820656246203E-4</c:v>
                  </c:pt>
                  <c:pt idx="15">
                    <c:v>3.0693737895559002E-4</c:v>
                  </c:pt>
                  <c:pt idx="16">
                    <c:v>1.20448205759999E-4</c:v>
                  </c:pt>
                  <c:pt idx="17">
                    <c:v>1.1788940857852799E-3</c:v>
                  </c:pt>
                  <c:pt idx="18">
                    <c:v>2.8135022197322299E-5</c:v>
                  </c:pt>
                  <c:pt idx="19">
                    <c:v>8.6366784653467193E-5</c:v>
                  </c:pt>
                  <c:pt idx="20">
                    <c:v>0.35388756087981399</c:v>
                  </c:pt>
                  <c:pt idx="21">
                    <c:v>2.99069413385684E-3</c:v>
                  </c:pt>
                  <c:pt idx="22">
                    <c:v>3.56468859257412E-4</c:v>
                  </c:pt>
                  <c:pt idx="23">
                    <c:v>1.5145025020784301E-3</c:v>
                  </c:pt>
                  <c:pt idx="24">
                    <c:v>3.4850300676841502E-6</c:v>
                  </c:pt>
                  <c:pt idx="25">
                    <c:v>1.5760299393517601E-3</c:v>
                  </c:pt>
                  <c:pt idx="26">
                    <c:v>0.20412667509521901</c:v>
                  </c:pt>
                  <c:pt idx="27">
                    <c:v>1.63316233913049E-4</c:v>
                  </c:pt>
                  <c:pt idx="28">
                    <c:v>1.26494882110902E-2</c:v>
                  </c:pt>
                  <c:pt idx="29">
                    <c:v>9.80445699341553E-3</c:v>
                  </c:pt>
                  <c:pt idx="30">
                    <c:v>1.5362927146296901E-4</c:v>
                  </c:pt>
                  <c:pt idx="31">
                    <c:v>1.7160516138931601E-5</c:v>
                  </c:pt>
                </c:numCache>
              </c:numRef>
            </c:minus>
            <c:spPr>
              <a:noFill/>
              <a:ln w="9525" cap="flat" cmpd="sng" algn="ctr">
                <a:solidFill>
                  <a:schemeClr val="dk1">
                    <a:lumMod val="50000"/>
                    <a:lumOff val="50000"/>
                  </a:schemeClr>
                </a:solidFill>
                <a:round/>
              </a:ln>
              <a:effectLst/>
            </c:spPr>
          </c:errBars>
          <c:cat>
            <c:strRef>
              <c:f>'Data Driven_Features'!$S$42:$S$73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Driven_Features'!$U$42:$U$73</c:f>
              <c:numCache>
                <c:formatCode>General</c:formatCode>
                <c:ptCount val="32"/>
                <c:pt idx="0">
                  <c:v>0.33333333366535101</c:v>
                </c:pt>
                <c:pt idx="1">
                  <c:v>0.33337818442770001</c:v>
                </c:pt>
                <c:pt idx="2">
                  <c:v>1.5343767423055401E-4</c:v>
                </c:pt>
                <c:pt idx="3">
                  <c:v>0.200029204567054</c:v>
                </c:pt>
                <c:pt idx="4">
                  <c:v>6.4050631388230599E-4</c:v>
                </c:pt>
                <c:pt idx="5">
                  <c:v>0.250011499746701</c:v>
                </c:pt>
                <c:pt idx="6">
                  <c:v>2.2666061138368102E-3</c:v>
                </c:pt>
                <c:pt idx="7">
                  <c:v>0</c:v>
                </c:pt>
                <c:pt idx="8">
                  <c:v>3.7037037369055503E-2</c:v>
                </c:pt>
                <c:pt idx="9">
                  <c:v>1.06009962304357E-4</c:v>
                </c:pt>
                <c:pt idx="10">
                  <c:v>4.7880629812860599E-2</c:v>
                </c:pt>
                <c:pt idx="11">
                  <c:v>2.0378038452455001E-4</c:v>
                </c:pt>
                <c:pt idx="12">
                  <c:v>4.2841969759898103E-3</c:v>
                </c:pt>
                <c:pt idx="13">
                  <c:v>2.60776807591051E-4</c:v>
                </c:pt>
                <c:pt idx="14" formatCode="0.00E+00">
                  <c:v>2.27380379326973E-4</c:v>
                </c:pt>
                <c:pt idx="15" formatCode="0.00E+00">
                  <c:v>1.62175625081111E-4</c:v>
                </c:pt>
                <c:pt idx="16" formatCode="0.00E+00">
                  <c:v>5.8644839127325299E-5</c:v>
                </c:pt>
                <c:pt idx="17" formatCode="0.00E+00">
                  <c:v>6.1275304279056195E-4</c:v>
                </c:pt>
                <c:pt idx="18" formatCode="0.00E+00">
                  <c:v>1.5823489359687E-5</c:v>
                </c:pt>
                <c:pt idx="19" formatCode="0.00E+00">
                  <c:v>7.0780135351214798E-5</c:v>
                </c:pt>
                <c:pt idx="20">
                  <c:v>0.11614959008919699</c:v>
                </c:pt>
                <c:pt idx="21">
                  <c:v>1.0568826183760399E-3</c:v>
                </c:pt>
                <c:pt idx="22" formatCode="0.00E+00">
                  <c:v>2.79670047954827E-4</c:v>
                </c:pt>
                <c:pt idx="23" formatCode="0.00E+00">
                  <c:v>8.2188831789778796E-4</c:v>
                </c:pt>
                <c:pt idx="24" formatCode="0.00E+00">
                  <c:v>1.4669508663208899E-6</c:v>
                </c:pt>
                <c:pt idx="25" formatCode="0.00E+00">
                  <c:v>9.7814964739600593E-4</c:v>
                </c:pt>
                <c:pt idx="26">
                  <c:v>7.2046073021955898E-2</c:v>
                </c:pt>
                <c:pt idx="27" formatCode="0.00E+00">
                  <c:v>7.9653166493148496E-5</c:v>
                </c:pt>
                <c:pt idx="28">
                  <c:v>3.6686646734465098E-3</c:v>
                </c:pt>
                <c:pt idx="29">
                  <c:v>2.97672400028925E-3</c:v>
                </c:pt>
                <c:pt idx="30" formatCode="0.00E+00">
                  <c:v>7.1498919251162399E-5</c:v>
                </c:pt>
                <c:pt idx="31" formatCode="0.00E+00">
                  <c:v>5.2083291649477503E-6</c:v>
                </c:pt>
              </c:numCache>
            </c:numRef>
          </c:val>
          <c:smooth val="0"/>
        </c:ser>
        <c:dLbls>
          <c:showLegendKey val="0"/>
          <c:showVal val="0"/>
          <c:showCatName val="0"/>
          <c:showSerName val="0"/>
          <c:showPercent val="0"/>
          <c:showBubbleSize val="0"/>
        </c:dLbls>
        <c:marker val="1"/>
        <c:smooth val="0"/>
        <c:axId val="218592880"/>
        <c:axId val="218593440"/>
      </c:lineChart>
      <c:catAx>
        <c:axId val="2185928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8593440"/>
        <c:crosses val="max"/>
        <c:auto val="1"/>
        <c:lblAlgn val="ctr"/>
        <c:lblOffset val="100"/>
        <c:noMultiLvlLbl val="0"/>
      </c:catAx>
      <c:valAx>
        <c:axId val="218593440"/>
        <c:scaling>
          <c:logBase val="10"/>
          <c:orientation val="maxMin"/>
          <c:max val="1"/>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Mean BGP-restricted Triple Pattern      Selectivity (log scale)</a:t>
                </a:r>
              </a:p>
            </c:rich>
          </c:tx>
          <c:layout>
            <c:manualLayout>
              <c:xMode val="edge"/>
              <c:yMode val="edge"/>
              <c:x val="1.5478795314697667E-3"/>
              <c:y val="0.1939562167177448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592880"/>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20267069085537245"/>
          <c:y val="3.2422372642016237E-2"/>
          <c:w val="0.40273793365342314"/>
          <c:h val="0.157737282030900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37525987337243"/>
          <c:y val="2.707338035466577E-2"/>
          <c:w val="0.79943313560260665"/>
          <c:h val="0.88322468515574548"/>
        </c:manualLayout>
      </c:layout>
      <c:barChart>
        <c:barDir val="col"/>
        <c:grouping val="clustered"/>
        <c:varyColors val="0"/>
        <c:ser>
          <c:idx val="0"/>
          <c:order val="0"/>
          <c:tx>
            <c:strRef>
              <c:f>'Data Driven_Features'!$P$41</c:f>
              <c:strCache>
                <c:ptCount val="1"/>
                <c:pt idx="0">
                  <c:v>FedBench</c:v>
                </c:pt>
              </c:strCache>
            </c:strRef>
          </c:tx>
          <c:spPr>
            <a:solidFill>
              <a:schemeClr val="accent1"/>
            </a:solidFill>
            <a:ln>
              <a:noFill/>
            </a:ln>
            <a:effectLst/>
          </c:spPr>
          <c:invertIfNegative val="0"/>
          <c:cat>
            <c:strRef>
              <c:f>'Data Driven_Features'!$O$42:$O$73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Driven_Features'!$P$42:$P$73</c:f>
              <c:numCache>
                <c:formatCode>General</c:formatCode>
                <c:ptCount val="32"/>
                <c:pt idx="0">
                  <c:v>0.666666670982906</c:v>
                </c:pt>
                <c:pt idx="1">
                  <c:v>0.66671151776103299</c:v>
                </c:pt>
                <c:pt idx="2" formatCode="0.00E+00">
                  <c:v>3.0687534846110802E-4</c:v>
                </c:pt>
                <c:pt idx="3">
                  <c:v>0.200029204567054</c:v>
                </c:pt>
                <c:pt idx="4" formatCode="0.00E+00">
                  <c:v>6.6524908096658199E-4</c:v>
                </c:pt>
                <c:pt idx="5">
                  <c:v>0.25012616297906798</c:v>
                </c:pt>
                <c:pt idx="6">
                  <c:v>2.2666061138368102E-3</c:v>
                </c:pt>
                <c:pt idx="7">
                  <c:v>1</c:v>
                </c:pt>
                <c:pt idx="8">
                  <c:v>0.37037037501862902</c:v>
                </c:pt>
                <c:pt idx="9">
                  <c:v>0.55677715708087605</c:v>
                </c:pt>
                <c:pt idx="10">
                  <c:v>4.7996139393578399E-2</c:v>
                </c:pt>
                <c:pt idx="11">
                  <c:v>7.6332987317226694E-2</c:v>
                </c:pt>
                <c:pt idx="12">
                  <c:v>0.119957515327714</c:v>
                </c:pt>
                <c:pt idx="13">
                  <c:v>0.48155989055533699</c:v>
                </c:pt>
              </c:numCache>
            </c:numRef>
          </c:val>
        </c:ser>
        <c:dLbls>
          <c:showLegendKey val="0"/>
          <c:showVal val="0"/>
          <c:showCatName val="0"/>
          <c:showSerName val="0"/>
          <c:showPercent val="0"/>
          <c:showBubbleSize val="0"/>
        </c:dLbls>
        <c:gapWidth val="150"/>
        <c:axId val="218596800"/>
        <c:axId val="218597360"/>
      </c:barChart>
      <c:lineChart>
        <c:grouping val="standard"/>
        <c:varyColors val="0"/>
        <c:ser>
          <c:idx val="1"/>
          <c:order val="1"/>
          <c:tx>
            <c:strRef>
              <c:f>'Data Driven_Features'!$Q$41</c:f>
              <c:strCache>
                <c:ptCount val="1"/>
                <c:pt idx="0">
                  <c:v>LargeRDFBench</c:v>
                </c:pt>
              </c:strCache>
            </c:strRef>
          </c:tx>
          <c:spPr>
            <a:ln w="22225" cap="rnd">
              <a:solidFill>
                <a:schemeClr val="accent3">
                  <a:lumMod val="75000"/>
                </a:schemeClr>
              </a:solidFill>
              <a:prstDash val="solid"/>
              <a:round/>
            </a:ln>
            <a:effectLst/>
          </c:spPr>
          <c:marker>
            <c:symbol val="none"/>
          </c:marker>
          <c:errBars>
            <c:errDir val="y"/>
            <c:errBarType val="plus"/>
            <c:errValType val="cust"/>
            <c:noEndCap val="0"/>
            <c:plus>
              <c:numRef>
                <c:f>'Data Driven_Features'!$R$42:$R$73</c:f>
                <c:numCache>
                  <c:formatCode>General</c:formatCode>
                  <c:ptCount val="32"/>
                  <c:pt idx="0">
                    <c:v>0.99999999568375897</c:v>
                  </c:pt>
                  <c:pt idx="1">
                    <c:v>0.70707507236355405</c:v>
                  </c:pt>
                  <c:pt idx="2">
                    <c:v>5.0863254677414003E-4</c:v>
                  </c:pt>
                  <c:pt idx="3">
                    <c:v>0.49998654796893299</c:v>
                  </c:pt>
                  <c:pt idx="4">
                    <c:v>1.40157212786864E-3</c:v>
                  </c:pt>
                  <c:pt idx="5">
                    <c:v>0.49991596655883902</c:v>
                  </c:pt>
                  <c:pt idx="6">
                    <c:v>5.1358890804843599E-3</c:v>
                  </c:pt>
                  <c:pt idx="7">
                    <c:v>0.70710678118654702</c:v>
                  </c:pt>
                  <c:pt idx="8">
                    <c:v>0.71145824497396903</c:v>
                  </c:pt>
                  <c:pt idx="9">
                    <c:v>0.62796144914961705</c:v>
                  </c:pt>
                  <c:pt idx="10">
                    <c:v>0.136061101738288</c:v>
                  </c:pt>
                  <c:pt idx="11">
                    <c:v>0.13392188064218599</c:v>
                  </c:pt>
                  <c:pt idx="12">
                    <c:v>0.29171502403402799</c:v>
                  </c:pt>
                  <c:pt idx="13">
                    <c:v>0.53908033107777098</c:v>
                  </c:pt>
                  <c:pt idx="14">
                    <c:v>0.353137365369668</c:v>
                  </c:pt>
                  <c:pt idx="15">
                    <c:v>0.48162124220201202</c:v>
                  </c:pt>
                  <c:pt idx="16">
                    <c:v>0.353383306267949</c:v>
                  </c:pt>
                  <c:pt idx="17">
                    <c:v>0.112978131916425</c:v>
                  </c:pt>
                  <c:pt idx="18">
                    <c:v>0.54698196508896801</c:v>
                  </c:pt>
                  <c:pt idx="19">
                    <c:v>1.1163240676487999E-3</c:v>
                  </c:pt>
                  <c:pt idx="20">
                    <c:v>0.43378362228932299</c:v>
                  </c:pt>
                  <c:pt idx="21">
                    <c:v>0.43996225002015399</c:v>
                  </c:pt>
                  <c:pt idx="22">
                    <c:v>0.58352396839259701</c:v>
                  </c:pt>
                  <c:pt idx="23">
                    <c:v>8.3674028872570194E-2</c:v>
                  </c:pt>
                  <c:pt idx="24">
                    <c:v>0.73202999291726101</c:v>
                  </c:pt>
                  <c:pt idx="25">
                    <c:v>0.14830529298428199</c:v>
                  </c:pt>
                  <c:pt idx="26">
                    <c:v>0.20411460806986001</c:v>
                  </c:pt>
                  <c:pt idx="27">
                    <c:v>0.49922961638624802</c:v>
                  </c:pt>
                  <c:pt idx="28">
                    <c:v>0.52722359805644503</c:v>
                  </c:pt>
                  <c:pt idx="29">
                    <c:v>0.38766617628120897</c:v>
                  </c:pt>
                  <c:pt idx="30">
                    <c:v>0.49182125198901899</c:v>
                  </c:pt>
                  <c:pt idx="31">
                    <c:v>0.58927527081646303</c:v>
                  </c:pt>
                </c:numCache>
              </c:numRef>
            </c:plus>
            <c:minus>
              <c:numRef>
                <c:f>'Data Driven_Features'!$AD$42:$AD$73</c:f>
                <c:numCache>
                  <c:formatCode>General</c:formatCode>
                  <c:ptCount val="32"/>
                  <c:pt idx="0">
                    <c:v>0.57734888923794103</c:v>
                  </c:pt>
                  <c:pt idx="1">
                    <c:v>1.28001249886763E-2</c:v>
                  </c:pt>
                  <c:pt idx="2">
                    <c:v>1.17434079056025E-2</c:v>
                  </c:pt>
                  <c:pt idx="3">
                    <c:v>1.1637102287803699E-2</c:v>
                  </c:pt>
                  <c:pt idx="4">
                    <c:v>1.0138340331367599E-2</c:v>
                  </c:pt>
                  <c:pt idx="5">
                    <c:v>1.7605356510124501E-2</c:v>
                  </c:pt>
                  <c:pt idx="6">
                    <c:v>1.5335110490211501E-2</c:v>
                  </c:pt>
                  <c:pt idx="7">
                    <c:v>1.5851070000000001E-3</c:v>
                  </c:pt>
                  <c:pt idx="8">
                    <c:v>0.57716721120390002</c:v>
                  </c:pt>
                  <c:pt idx="9">
                    <c:v>8.9269497975264494E-3</c:v>
                  </c:pt>
                  <c:pt idx="10">
                    <c:v>7.4170772554221004E-3</c:v>
                  </c:pt>
                  <c:pt idx="11">
                    <c:v>8.5514545355067292E-3</c:v>
                  </c:pt>
                  <c:pt idx="12">
                    <c:v>1.5589935159129801E-2</c:v>
                  </c:pt>
                  <c:pt idx="13">
                    <c:v>1.48394447644138E-2</c:v>
                  </c:pt>
                  <c:pt idx="14">
                    <c:v>8.55962285729156E-3</c:v>
                  </c:pt>
                  <c:pt idx="15">
                    <c:v>8.0409787742798892E-3</c:v>
                  </c:pt>
                  <c:pt idx="16">
                    <c:v>1.47078906056638E-2</c:v>
                  </c:pt>
                  <c:pt idx="17">
                    <c:v>1.5408136627714401E-2</c:v>
                  </c:pt>
                  <c:pt idx="18">
                    <c:v>1.86079392670375E-2</c:v>
                  </c:pt>
                  <c:pt idx="19">
                    <c:v>7.0587250598913203E-3</c:v>
                  </c:pt>
                  <c:pt idx="20">
                    <c:v>1.39318952005539E-2</c:v>
                  </c:pt>
                  <c:pt idx="21">
                    <c:v>1.8444083250857699E-2</c:v>
                  </c:pt>
                  <c:pt idx="22">
                    <c:v>8.8030193910622594E-3</c:v>
                  </c:pt>
                  <c:pt idx="23">
                    <c:v>3.57522785935044E-3</c:v>
                  </c:pt>
                  <c:pt idx="24">
                    <c:v>0.40024049826035701</c:v>
                  </c:pt>
                  <c:pt idx="25">
                    <c:v>0.45296103125034698</c:v>
                  </c:pt>
                  <c:pt idx="26">
                    <c:v>0.427464001698181</c:v>
                  </c:pt>
                  <c:pt idx="27">
                    <c:v>0.42949024844177902</c:v>
                  </c:pt>
                  <c:pt idx="28">
                    <c:v>0.40471352344267297</c:v>
                  </c:pt>
                  <c:pt idx="29">
                    <c:v>0.33925135372287502</c:v>
                  </c:pt>
                  <c:pt idx="30">
                    <c:v>0.44682464178755998</c:v>
                  </c:pt>
                  <c:pt idx="31">
                    <c:v>0.38255436417319399</c:v>
                  </c:pt>
                </c:numCache>
              </c:numRef>
            </c:minus>
            <c:spPr>
              <a:noFill/>
              <a:ln w="9525" cap="flat" cmpd="sng" algn="ctr">
                <a:solidFill>
                  <a:schemeClr val="dk1">
                    <a:lumMod val="50000"/>
                    <a:lumOff val="50000"/>
                  </a:schemeClr>
                </a:solidFill>
                <a:round/>
              </a:ln>
              <a:effectLst/>
            </c:spPr>
          </c:errBars>
          <c:cat>
            <c:strRef>
              <c:f>'Data Driven_Features'!$O$42:$O$73</c:f>
              <c:strCache>
                <c:ptCount val="32"/>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C1</c:v>
                </c:pt>
                <c:pt idx="15">
                  <c:v>C2</c:v>
                </c:pt>
                <c:pt idx="16">
                  <c:v>C3</c:v>
                </c:pt>
                <c:pt idx="17">
                  <c:v>C4</c:v>
                </c:pt>
                <c:pt idx="18">
                  <c:v>C5</c:v>
                </c:pt>
                <c:pt idx="19">
                  <c:v>C6</c:v>
                </c:pt>
                <c:pt idx="20">
                  <c:v>C7</c:v>
                </c:pt>
                <c:pt idx="21">
                  <c:v>C8</c:v>
                </c:pt>
                <c:pt idx="22">
                  <c:v>C9</c:v>
                </c:pt>
                <c:pt idx="23">
                  <c:v>C10</c:v>
                </c:pt>
                <c:pt idx="24">
                  <c:v>L1</c:v>
                </c:pt>
                <c:pt idx="25">
                  <c:v>L2</c:v>
                </c:pt>
                <c:pt idx="26">
                  <c:v>L3</c:v>
                </c:pt>
                <c:pt idx="27">
                  <c:v>L4</c:v>
                </c:pt>
                <c:pt idx="28">
                  <c:v>L5</c:v>
                </c:pt>
                <c:pt idx="29">
                  <c:v>L6</c:v>
                </c:pt>
                <c:pt idx="30">
                  <c:v>L7</c:v>
                </c:pt>
                <c:pt idx="31">
                  <c:v>L8</c:v>
                </c:pt>
              </c:strCache>
            </c:strRef>
          </c:cat>
          <c:val>
            <c:numRef>
              <c:f>'Data Driven_Features'!$Q$42:$Q$73</c:f>
              <c:numCache>
                <c:formatCode>General</c:formatCode>
                <c:ptCount val="32"/>
                <c:pt idx="0">
                  <c:v>0.666666670982906</c:v>
                </c:pt>
                <c:pt idx="1">
                  <c:v>0.66671151776103299</c:v>
                </c:pt>
                <c:pt idx="2">
                  <c:v>3.0687534846110802E-4</c:v>
                </c:pt>
                <c:pt idx="3">
                  <c:v>0.200029204567054</c:v>
                </c:pt>
                <c:pt idx="4">
                  <c:v>6.6524908096658199E-4</c:v>
                </c:pt>
                <c:pt idx="5">
                  <c:v>0.25012616297906798</c:v>
                </c:pt>
                <c:pt idx="6">
                  <c:v>2.2666061138368102E-3</c:v>
                </c:pt>
                <c:pt idx="7">
                  <c:v>1</c:v>
                </c:pt>
                <c:pt idx="8">
                  <c:v>0.37037037501862902</c:v>
                </c:pt>
                <c:pt idx="9">
                  <c:v>0.55677715708087605</c:v>
                </c:pt>
                <c:pt idx="10">
                  <c:v>4.7996139393578399E-2</c:v>
                </c:pt>
                <c:pt idx="11">
                  <c:v>7.6332987317226694E-2</c:v>
                </c:pt>
                <c:pt idx="12">
                  <c:v>0.119957515327714</c:v>
                </c:pt>
                <c:pt idx="13">
                  <c:v>0.48155989055533699</c:v>
                </c:pt>
                <c:pt idx="14">
                  <c:v>0.25162373675571598</c:v>
                </c:pt>
                <c:pt idx="15">
                  <c:v>0.25064870250032401</c:v>
                </c:pt>
                <c:pt idx="16">
                  <c:v>0.125424296804549</c:v>
                </c:pt>
                <c:pt idx="17">
                  <c:v>5.4065493408842001E-2</c:v>
                </c:pt>
                <c:pt idx="18">
                  <c:v>0.44883106957514501</c:v>
                </c:pt>
                <c:pt idx="19">
                  <c:v>1.0341091750322199E-3</c:v>
                </c:pt>
                <c:pt idx="20">
                  <c:v>0.22687891601992199</c:v>
                </c:pt>
                <c:pt idx="21">
                  <c:v>0.23172933559831699</c:v>
                </c:pt>
                <c:pt idx="22">
                  <c:v>0.58352396839259701</c:v>
                </c:pt>
                <c:pt idx="23">
                  <c:v>3.8914961813719E-2</c:v>
                </c:pt>
                <c:pt idx="24">
                  <c:v>0.48437436044785198</c:v>
                </c:pt>
                <c:pt idx="25">
                  <c:v>0.15651909811770101</c:v>
                </c:pt>
                <c:pt idx="26">
                  <c:v>7.2545359663934203E-2</c:v>
                </c:pt>
                <c:pt idx="27">
                  <c:v>0.38605028562568799</c:v>
                </c:pt>
                <c:pt idx="28">
                  <c:v>0.39363782772134698</c:v>
                </c:pt>
                <c:pt idx="29">
                  <c:v>0.235529476610806</c:v>
                </c:pt>
                <c:pt idx="30">
                  <c:v>0.26497589677773797</c:v>
                </c:pt>
                <c:pt idx="31">
                  <c:v>0.333759327615537</c:v>
                </c:pt>
              </c:numCache>
            </c:numRef>
          </c:val>
          <c:smooth val="0"/>
        </c:ser>
        <c:dLbls>
          <c:showLegendKey val="0"/>
          <c:showVal val="0"/>
          <c:showCatName val="0"/>
          <c:showSerName val="0"/>
          <c:showPercent val="0"/>
          <c:showBubbleSize val="0"/>
        </c:dLbls>
        <c:marker val="1"/>
        <c:smooth val="0"/>
        <c:axId val="218596800"/>
        <c:axId val="218597360"/>
      </c:lineChart>
      <c:catAx>
        <c:axId val="21859680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8597360"/>
        <c:crosses val="autoZero"/>
        <c:auto val="1"/>
        <c:lblAlgn val="ctr"/>
        <c:lblOffset val="100"/>
        <c:noMultiLvlLbl val="0"/>
      </c:catAx>
      <c:valAx>
        <c:axId val="21859736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Mean BGP-restricted Triple Pattern      Selectivity</a:t>
                </a:r>
              </a:p>
            </c:rich>
          </c:tx>
          <c:layout>
            <c:manualLayout>
              <c:xMode val="edge"/>
              <c:yMode val="edge"/>
              <c:x val="1.5478795314697667E-3"/>
              <c:y val="0.1939562167177448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596800"/>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39366161967462127"/>
          <c:y val="6.1662045431963831E-2"/>
          <c:w val="0.40273793365342314"/>
          <c:h val="0.157737282030900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21770886428558E-2"/>
          <c:y val="3.3951868803096821E-2"/>
          <c:w val="0.91890075551033557"/>
          <c:h val="0.88182217480087555"/>
        </c:manualLayout>
      </c:layout>
      <c:barChart>
        <c:barDir val="col"/>
        <c:grouping val="clustered"/>
        <c:varyColors val="0"/>
        <c:ser>
          <c:idx val="0"/>
          <c:order val="0"/>
          <c:tx>
            <c:strRef>
              <c:f>'Runtimes_SPARQL1.1'!$B$3</c:f>
              <c:strCache>
                <c:ptCount val="1"/>
                <c:pt idx="0">
                  <c:v>FedX(100% cached)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'Runtimes_SPARQL1.1'!$A$4:$A$18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'Runtimes_SPARQL1.1'!$B$4:$B$18</c:f>
              <c:numCache>
                <c:formatCode>0</c:formatCode>
                <c:ptCount val="15"/>
                <c:pt idx="0">
                  <c:v>205</c:v>
                </c:pt>
                <c:pt idx="1">
                  <c:v>165</c:v>
                </c:pt>
                <c:pt idx="2">
                  <c:v>179</c:v>
                </c:pt>
                <c:pt idx="3">
                  <c:v>159</c:v>
                </c:pt>
                <c:pt idx="4">
                  <c:v>160</c:v>
                </c:pt>
                <c:pt idx="5">
                  <c:v>1620</c:v>
                </c:pt>
                <c:pt idx="6">
                  <c:v>712</c:v>
                </c:pt>
                <c:pt idx="7">
                  <c:v>385</c:v>
                </c:pt>
                <c:pt idx="8">
                  <c:v>305</c:v>
                </c:pt>
                <c:pt idx="9">
                  <c:v>6045</c:v>
                </c:pt>
                <c:pt idx="10">
                  <c:v>153</c:v>
                </c:pt>
                <c:pt idx="11">
                  <c:v>2380</c:v>
                </c:pt>
                <c:pt idx="12">
                  <c:v>238</c:v>
                </c:pt>
                <c:pt idx="13">
                  <c:v>1604</c:v>
                </c:pt>
                <c:pt idx="14" formatCode="0.00">
                  <c:v>1022.1428571428571</c:v>
                </c:pt>
              </c:numCache>
            </c:numRef>
          </c:val>
        </c:ser>
        <c:ser>
          <c:idx val="1"/>
          <c:order val="1"/>
          <c:tx>
            <c:strRef>
              <c:f>'Runtimes_SPARQL1.1'!$C$3</c:f>
              <c:strCache>
                <c:ptCount val="1"/>
                <c:pt idx="0">
                  <c:v>ANAPSID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'Runtimes_SPARQL1.1'!$A$4:$A$18</c:f>
              <c:strCache>
                <c:ptCount val="15"/>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Avg.</c:v>
                </c:pt>
              </c:strCache>
            </c:strRef>
          </c:cat>
          <c:val>
            <c:numRef>
              <c:f>'Runtimes_SPARQL1.1'!$C$4:$C$18</c:f>
              <c:numCache>
                <c:formatCode>0</c:formatCode>
                <c:ptCount val="15"/>
                <c:pt idx="0">
                  <c:v>45</c:v>
                </c:pt>
                <c:pt idx="1">
                  <c:v>30</c:v>
                </c:pt>
                <c:pt idx="2">
                  <c:v>55</c:v>
                </c:pt>
                <c:pt idx="3">
                  <c:v>41</c:v>
                </c:pt>
                <c:pt idx="4">
                  <c:v>42</c:v>
                </c:pt>
                <c:pt idx="5">
                  <c:v>2157</c:v>
                </c:pt>
                <c:pt idx="6">
                  <c:v>586</c:v>
                </c:pt>
                <c:pt idx="7">
                  <c:v>260</c:v>
                </c:pt>
                <c:pt idx="8">
                  <c:v>200</c:v>
                </c:pt>
                <c:pt idx="9">
                  <c:v>13713</c:v>
                </c:pt>
                <c:pt idx="10">
                  <c:v>7429</c:v>
                </c:pt>
                <c:pt idx="11">
                  <c:v>3512</c:v>
                </c:pt>
                <c:pt idx="12">
                  <c:v>5808</c:v>
                </c:pt>
                <c:pt idx="13">
                  <c:v>2964</c:v>
                </c:pt>
                <c:pt idx="14" formatCode="0.00">
                  <c:v>2631.5714285714284</c:v>
                </c:pt>
              </c:numCache>
            </c:numRef>
          </c:val>
        </c:ser>
        <c:dLbls>
          <c:showLegendKey val="0"/>
          <c:showVal val="0"/>
          <c:showCatName val="0"/>
          <c:showSerName val="0"/>
          <c:showPercent val="0"/>
          <c:showBubbleSize val="0"/>
        </c:dLbls>
        <c:gapWidth val="100"/>
        <c:overlap val="-24"/>
        <c:axId val="218366528"/>
        <c:axId val="218367088"/>
      </c:barChart>
      <c:catAx>
        <c:axId val="2183665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67088"/>
        <c:crosses val="autoZero"/>
        <c:auto val="1"/>
        <c:lblAlgn val="ctr"/>
        <c:lblOffset val="100"/>
        <c:noMultiLvlLbl val="0"/>
      </c:catAx>
      <c:valAx>
        <c:axId val="218367088"/>
        <c:scaling>
          <c:logBase val="10"/>
          <c:orientation val="minMax"/>
          <c:max val="10000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E">
                    <a:solidFill>
                      <a:schemeClr val="tx1"/>
                    </a:solidFill>
                  </a:rPr>
                  <a:t>Time - Log Scale (msec)</a:t>
                </a:r>
              </a:p>
            </c:rich>
          </c:tx>
          <c:layout>
            <c:manualLayout>
              <c:xMode val="edge"/>
              <c:yMode val="edge"/>
              <c:x val="1.31265371702028E-3"/>
              <c:y val="0.244016674791945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66528"/>
        <c:crosses val="autoZero"/>
        <c:crossBetween val="between"/>
      </c:valAx>
      <c:spPr>
        <a:noFill/>
        <a:ln>
          <a:noFill/>
        </a:ln>
        <a:effectLst/>
      </c:spPr>
    </c:plotArea>
    <c:legend>
      <c:legendPos val="b"/>
      <c:layout>
        <c:manualLayout>
          <c:xMode val="edge"/>
          <c:yMode val="edge"/>
          <c:x val="0.31445115985600008"/>
          <c:y val="7.6425688757943616E-2"/>
          <c:w val="0.24789451680958421"/>
          <c:h val="7.088307999441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21770886428558E-2"/>
          <c:y val="3.3951868803096821E-2"/>
          <c:w val="0.91890075551033557"/>
          <c:h val="0.88182217480087555"/>
        </c:manualLayout>
      </c:layout>
      <c:barChart>
        <c:barDir val="col"/>
        <c:grouping val="clustered"/>
        <c:varyColors val="0"/>
        <c:ser>
          <c:idx val="0"/>
          <c:order val="0"/>
          <c:tx>
            <c:strRef>
              <c:f>'Runtimes_SPARQL1.1'!$B$3</c:f>
              <c:strCache>
                <c:ptCount val="1"/>
                <c:pt idx="0">
                  <c:v>FedX(100% cached)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'Runtimes_SPARQL1.1'!$A$20:$A$30</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'Runtimes_SPARQL1.1'!$B$20:$B$30</c:f>
              <c:numCache>
                <c:formatCode>0</c:formatCode>
                <c:ptCount val="11"/>
                <c:pt idx="0">
                  <c:v>0</c:v>
                </c:pt>
                <c:pt idx="1">
                  <c:v>4106</c:v>
                </c:pt>
                <c:pt idx="2">
                  <c:v>4234</c:v>
                </c:pt>
                <c:pt idx="3">
                  <c:v>380</c:v>
                </c:pt>
                <c:pt idx="4">
                  <c:v>0</c:v>
                </c:pt>
                <c:pt idx="5">
                  <c:v>30587</c:v>
                </c:pt>
                <c:pt idx="6">
                  <c:v>1012</c:v>
                </c:pt>
                <c:pt idx="7">
                  <c:v>7162</c:v>
                </c:pt>
                <c:pt idx="8">
                  <c:v>0</c:v>
                </c:pt>
                <c:pt idx="9">
                  <c:v>2590</c:v>
                </c:pt>
                <c:pt idx="10" formatCode="0.00">
                  <c:v>306258.875</c:v>
                </c:pt>
              </c:numCache>
            </c:numRef>
          </c:val>
        </c:ser>
        <c:ser>
          <c:idx val="1"/>
          <c:order val="1"/>
          <c:tx>
            <c:strRef>
              <c:f>'Runtimes_SPARQL1.1'!$C$3</c:f>
              <c:strCache>
                <c:ptCount val="1"/>
                <c:pt idx="0">
                  <c:v>ANAPSID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'Runtimes_SPARQL1.1'!$A$20:$A$30</c:f>
              <c:strCache>
                <c:ptCount val="11"/>
                <c:pt idx="0">
                  <c:v>C1</c:v>
                </c:pt>
                <c:pt idx="1">
                  <c:v>C2</c:v>
                </c:pt>
                <c:pt idx="2">
                  <c:v>C3</c:v>
                </c:pt>
                <c:pt idx="3">
                  <c:v>C4</c:v>
                </c:pt>
                <c:pt idx="4">
                  <c:v>C5</c:v>
                </c:pt>
                <c:pt idx="5">
                  <c:v>C6</c:v>
                </c:pt>
                <c:pt idx="6">
                  <c:v>C7</c:v>
                </c:pt>
                <c:pt idx="7">
                  <c:v>C8</c:v>
                </c:pt>
                <c:pt idx="8">
                  <c:v>C9</c:v>
                </c:pt>
                <c:pt idx="9">
                  <c:v>C10</c:v>
                </c:pt>
                <c:pt idx="10">
                  <c:v>Avg.</c:v>
                </c:pt>
              </c:strCache>
            </c:strRef>
          </c:cat>
          <c:val>
            <c:numRef>
              <c:f>'Runtimes_SPARQL1.1'!$C$20:$C$30</c:f>
              <c:numCache>
                <c:formatCode>0</c:formatCode>
                <c:ptCount val="11"/>
                <c:pt idx="0">
                  <c:v>9987</c:v>
                </c:pt>
                <c:pt idx="1">
                  <c:v>0</c:v>
                </c:pt>
                <c:pt idx="2">
                  <c:v>0</c:v>
                </c:pt>
                <c:pt idx="3">
                  <c:v>145510</c:v>
                </c:pt>
                <c:pt idx="4">
                  <c:v>0</c:v>
                </c:pt>
                <c:pt idx="5">
                  <c:v>19741</c:v>
                </c:pt>
                <c:pt idx="6">
                  <c:v>1213</c:v>
                </c:pt>
                <c:pt idx="7">
                  <c:v>2534</c:v>
                </c:pt>
                <c:pt idx="8">
                  <c:v>20320</c:v>
                </c:pt>
                <c:pt idx="9">
                  <c:v>16878</c:v>
                </c:pt>
                <c:pt idx="10" formatCode="0.00">
                  <c:v>370837.57142857142</c:v>
                </c:pt>
              </c:numCache>
            </c:numRef>
          </c:val>
        </c:ser>
        <c:dLbls>
          <c:showLegendKey val="0"/>
          <c:showVal val="0"/>
          <c:showCatName val="0"/>
          <c:showSerName val="0"/>
          <c:showPercent val="0"/>
          <c:showBubbleSize val="0"/>
        </c:dLbls>
        <c:gapWidth val="100"/>
        <c:overlap val="-24"/>
        <c:axId val="218370448"/>
        <c:axId val="218371008"/>
      </c:barChart>
      <c:catAx>
        <c:axId val="2183704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71008"/>
        <c:crosses val="autoZero"/>
        <c:auto val="1"/>
        <c:lblAlgn val="ctr"/>
        <c:lblOffset val="100"/>
        <c:noMultiLvlLbl val="0"/>
      </c:catAx>
      <c:valAx>
        <c:axId val="218371008"/>
        <c:scaling>
          <c:logBase val="10"/>
          <c:orientation val="minMax"/>
          <c:max val="10000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IE" b="0">
                    <a:solidFill>
                      <a:schemeClr val="tx1"/>
                    </a:solidFill>
                  </a:rPr>
                  <a:t>Time - Log Scale (msec)</a:t>
                </a:r>
              </a:p>
            </c:rich>
          </c:tx>
          <c:layout>
            <c:manualLayout>
              <c:xMode val="edge"/>
              <c:yMode val="edge"/>
              <c:x val="1.3001080847755535E-3"/>
              <c:y val="0.2440166747919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370448"/>
        <c:crosses val="autoZero"/>
        <c:crossBetween val="between"/>
      </c:valAx>
      <c:spPr>
        <a:noFill/>
        <a:ln>
          <a:noFill/>
        </a:ln>
        <a:effectLst/>
      </c:spPr>
    </c:plotArea>
    <c:legend>
      <c:legendPos val="b"/>
      <c:layout>
        <c:manualLayout>
          <c:xMode val="edge"/>
          <c:yMode val="edge"/>
          <c:x val="0.34324504494770708"/>
          <c:y val="5.1222992267865634E-2"/>
          <c:w val="0.24976578109709155"/>
          <c:h val="7.0883079994417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b="0"/>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304791494230926E-2"/>
          <c:y val="2.707342329474887E-2"/>
          <c:w val="0.89491027119999478"/>
          <c:h val="0.70629207238312885"/>
        </c:manualLayout>
      </c:layout>
      <c:barChart>
        <c:barDir val="col"/>
        <c:grouping val="clustered"/>
        <c:varyColors val="0"/>
        <c:ser>
          <c:idx val="0"/>
          <c:order val="0"/>
          <c:tx>
            <c:strRef>
              <c:f>'dataset structuredness'!$C$6</c:f>
              <c:strCache>
                <c:ptCount val="1"/>
                <c:pt idx="0">
                  <c:v>FedBench</c:v>
                </c:pt>
              </c:strCache>
            </c:strRef>
          </c:tx>
          <c:spPr>
            <a:solidFill>
              <a:schemeClr val="accent1"/>
            </a:solidFill>
            <a:ln>
              <a:noFill/>
            </a:ln>
            <a:effectLst/>
          </c:spPr>
          <c:invertIfNegative val="0"/>
          <c:cat>
            <c:strRef>
              <c:f>'dataset structuredness'!$B$7:$B$19</c:f>
              <c:strCache>
                <c:ptCount val="13"/>
                <c:pt idx="0">
                  <c:v>ChEBI</c:v>
                </c:pt>
                <c:pt idx="1">
                  <c:v>DBPedia</c:v>
                </c:pt>
                <c:pt idx="2">
                  <c:v>DrugBank</c:v>
                </c:pt>
                <c:pt idx="3">
                  <c:v>Geo Names</c:v>
                </c:pt>
                <c:pt idx="4">
                  <c:v>Jamendo</c:v>
                </c:pt>
                <c:pt idx="5">
                  <c:v>KEGG</c:v>
                </c:pt>
                <c:pt idx="6">
                  <c:v>Linked Movies</c:v>
                </c:pt>
                <c:pt idx="7">
                  <c:v>NY Times</c:v>
                </c:pt>
                <c:pt idx="8">
                  <c:v>SW Dog Food</c:v>
                </c:pt>
                <c:pt idx="9">
                  <c:v>LTCGA-M</c:v>
                </c:pt>
                <c:pt idx="10">
                  <c:v>Affymetrix</c:v>
                </c:pt>
                <c:pt idx="11">
                  <c:v>LTCGA-E</c:v>
                </c:pt>
                <c:pt idx="12">
                  <c:v>LTCGA-A</c:v>
                </c:pt>
              </c:strCache>
            </c:strRef>
          </c:cat>
          <c:val>
            <c:numRef>
              <c:f>'dataset structuredness'!$C$7:$C$19</c:f>
              <c:numCache>
                <c:formatCode>General</c:formatCode>
                <c:ptCount val="13"/>
                <c:pt idx="0">
                  <c:v>0.34</c:v>
                </c:pt>
                <c:pt idx="1">
                  <c:v>0.19600000000000001</c:v>
                </c:pt>
                <c:pt idx="2">
                  <c:v>0.72599999999999998</c:v>
                </c:pt>
                <c:pt idx="3">
                  <c:v>0.51800000000000002</c:v>
                </c:pt>
                <c:pt idx="4">
                  <c:v>0.96099999999999997</c:v>
                </c:pt>
                <c:pt idx="5">
                  <c:v>0.91900000000000004</c:v>
                </c:pt>
                <c:pt idx="6">
                  <c:v>0.72899999999999998</c:v>
                </c:pt>
                <c:pt idx="7">
                  <c:v>0.73099999999999998</c:v>
                </c:pt>
                <c:pt idx="8">
                  <c:v>0.42599999999999999</c:v>
                </c:pt>
              </c:numCache>
            </c:numRef>
          </c:val>
        </c:ser>
        <c:dLbls>
          <c:showLegendKey val="0"/>
          <c:showVal val="0"/>
          <c:showCatName val="0"/>
          <c:showSerName val="0"/>
          <c:showPercent val="0"/>
          <c:showBubbleSize val="0"/>
        </c:dLbls>
        <c:gapWidth val="150"/>
        <c:axId val="218795472"/>
        <c:axId val="218796032"/>
      </c:barChart>
      <c:lineChart>
        <c:grouping val="standard"/>
        <c:varyColors val="0"/>
        <c:ser>
          <c:idx val="1"/>
          <c:order val="1"/>
          <c:tx>
            <c:strRef>
              <c:f>'dataset structuredness'!$D$6</c:f>
              <c:strCache>
                <c:ptCount val="1"/>
                <c:pt idx="0">
                  <c:v>FedBench-Mean</c:v>
                </c:pt>
              </c:strCache>
            </c:strRef>
          </c:tx>
          <c:spPr>
            <a:ln w="22225" cap="rnd">
              <a:solidFill>
                <a:schemeClr val="accent2"/>
              </a:solidFill>
              <a:prstDash val="sysDash"/>
              <a:round/>
            </a:ln>
            <a:effectLst/>
          </c:spPr>
          <c:marker>
            <c:symbol val="none"/>
          </c:marker>
          <c:cat>
            <c:strRef>
              <c:f>'dataset structuredness'!$B$7:$B$19</c:f>
              <c:strCache>
                <c:ptCount val="13"/>
                <c:pt idx="0">
                  <c:v>ChEBI</c:v>
                </c:pt>
                <c:pt idx="1">
                  <c:v>DBPedia</c:v>
                </c:pt>
                <c:pt idx="2">
                  <c:v>DrugBank</c:v>
                </c:pt>
                <c:pt idx="3">
                  <c:v>Geo Names</c:v>
                </c:pt>
                <c:pt idx="4">
                  <c:v>Jamendo</c:v>
                </c:pt>
                <c:pt idx="5">
                  <c:v>KEGG</c:v>
                </c:pt>
                <c:pt idx="6">
                  <c:v>Linked Movies</c:v>
                </c:pt>
                <c:pt idx="7">
                  <c:v>NY Times</c:v>
                </c:pt>
                <c:pt idx="8">
                  <c:v>SW Dog Food</c:v>
                </c:pt>
                <c:pt idx="9">
                  <c:v>LTCGA-M</c:v>
                </c:pt>
                <c:pt idx="10">
                  <c:v>Affymetrix</c:v>
                </c:pt>
                <c:pt idx="11">
                  <c:v>LTCGA-E</c:v>
                </c:pt>
                <c:pt idx="12">
                  <c:v>LTCGA-A</c:v>
                </c:pt>
              </c:strCache>
            </c:strRef>
          </c:cat>
          <c:val>
            <c:numRef>
              <c:f>'dataset structuredness'!$D$7:$D$19</c:f>
              <c:numCache>
                <c:formatCode>General</c:formatCode>
                <c:ptCount val="13"/>
                <c:pt idx="0">
                  <c:v>0.58075357421930018</c:v>
                </c:pt>
                <c:pt idx="1">
                  <c:v>0.58075357421930018</c:v>
                </c:pt>
                <c:pt idx="2">
                  <c:v>0.58075357421930018</c:v>
                </c:pt>
                <c:pt idx="3">
                  <c:v>0.58075357421930018</c:v>
                </c:pt>
                <c:pt idx="4">
                  <c:v>0.58075357421930018</c:v>
                </c:pt>
                <c:pt idx="5">
                  <c:v>0.58075357421930018</c:v>
                </c:pt>
                <c:pt idx="6">
                  <c:v>0.58075357421930018</c:v>
                </c:pt>
                <c:pt idx="7">
                  <c:v>0.58075357421930018</c:v>
                </c:pt>
                <c:pt idx="8">
                  <c:v>0.58075357421930018</c:v>
                </c:pt>
              </c:numCache>
            </c:numRef>
          </c:val>
          <c:smooth val="0"/>
        </c:ser>
        <c:ser>
          <c:idx val="2"/>
          <c:order val="2"/>
          <c:tx>
            <c:strRef>
              <c:f>'dataset structuredness'!$E$6</c:f>
              <c:strCache>
                <c:ptCount val="1"/>
                <c:pt idx="0">
                  <c:v>LargeRDFBench</c:v>
                </c:pt>
              </c:strCache>
            </c:strRef>
          </c:tx>
          <c:spPr>
            <a:ln w="22225" cap="sq">
              <a:solidFill>
                <a:schemeClr val="accent3"/>
              </a:solidFill>
              <a:round/>
            </a:ln>
            <a:effectLst/>
          </c:spPr>
          <c:marker>
            <c:symbol val="none"/>
          </c:marker>
          <c:cat>
            <c:strRef>
              <c:f>'dataset structuredness'!$B$7:$B$19</c:f>
              <c:strCache>
                <c:ptCount val="13"/>
                <c:pt idx="0">
                  <c:v>ChEBI</c:v>
                </c:pt>
                <c:pt idx="1">
                  <c:v>DBPedia</c:v>
                </c:pt>
                <c:pt idx="2">
                  <c:v>DrugBank</c:v>
                </c:pt>
                <c:pt idx="3">
                  <c:v>Geo Names</c:v>
                </c:pt>
                <c:pt idx="4">
                  <c:v>Jamendo</c:v>
                </c:pt>
                <c:pt idx="5">
                  <c:v>KEGG</c:v>
                </c:pt>
                <c:pt idx="6">
                  <c:v>Linked Movies</c:v>
                </c:pt>
                <c:pt idx="7">
                  <c:v>NY Times</c:v>
                </c:pt>
                <c:pt idx="8">
                  <c:v>SW Dog Food</c:v>
                </c:pt>
                <c:pt idx="9">
                  <c:v>LTCGA-M</c:v>
                </c:pt>
                <c:pt idx="10">
                  <c:v>Affymetrix</c:v>
                </c:pt>
                <c:pt idx="11">
                  <c:v>LTCGA-E</c:v>
                </c:pt>
                <c:pt idx="12">
                  <c:v>LTCGA-A</c:v>
                </c:pt>
              </c:strCache>
            </c:strRef>
          </c:cat>
          <c:val>
            <c:numRef>
              <c:f>'dataset structuredness'!$E$7:$E$19</c:f>
              <c:numCache>
                <c:formatCode>General</c:formatCode>
                <c:ptCount val="13"/>
                <c:pt idx="0">
                  <c:v>0.34</c:v>
                </c:pt>
                <c:pt idx="1">
                  <c:v>0.19600000000000001</c:v>
                </c:pt>
                <c:pt idx="2">
                  <c:v>0.72599999999999998</c:v>
                </c:pt>
                <c:pt idx="3">
                  <c:v>0.51800000000000002</c:v>
                </c:pt>
                <c:pt idx="4">
                  <c:v>0.96099999999999997</c:v>
                </c:pt>
                <c:pt idx="5">
                  <c:v>0.91900000000000004</c:v>
                </c:pt>
                <c:pt idx="6">
                  <c:v>0.72899999999999998</c:v>
                </c:pt>
                <c:pt idx="7">
                  <c:v>0.73099999999999998</c:v>
                </c:pt>
                <c:pt idx="8">
                  <c:v>0.42599999999999999</c:v>
                </c:pt>
                <c:pt idx="9">
                  <c:v>1</c:v>
                </c:pt>
                <c:pt idx="10">
                  <c:v>0.50600000000000001</c:v>
                </c:pt>
                <c:pt idx="11">
                  <c:v>1</c:v>
                </c:pt>
                <c:pt idx="12">
                  <c:v>0.498</c:v>
                </c:pt>
              </c:numCache>
            </c:numRef>
          </c:val>
          <c:smooth val="0"/>
        </c:ser>
        <c:ser>
          <c:idx val="3"/>
          <c:order val="3"/>
          <c:tx>
            <c:strRef>
              <c:f>'dataset structuredness'!$F$6</c:f>
              <c:strCache>
                <c:ptCount val="1"/>
                <c:pt idx="0">
                  <c:v>LargeRDFBench-Mean</c:v>
                </c:pt>
              </c:strCache>
            </c:strRef>
          </c:tx>
          <c:spPr>
            <a:ln w="22225" cap="rnd">
              <a:solidFill>
                <a:schemeClr val="accent4"/>
              </a:solidFill>
              <a:prstDash val="lgDash"/>
              <a:round/>
            </a:ln>
            <a:effectLst/>
          </c:spPr>
          <c:marker>
            <c:symbol val="none"/>
          </c:marker>
          <c:cat>
            <c:strRef>
              <c:f>'dataset structuredness'!$B$7:$B$19</c:f>
              <c:strCache>
                <c:ptCount val="13"/>
                <c:pt idx="0">
                  <c:v>ChEBI</c:v>
                </c:pt>
                <c:pt idx="1">
                  <c:v>DBPedia</c:v>
                </c:pt>
                <c:pt idx="2">
                  <c:v>DrugBank</c:v>
                </c:pt>
                <c:pt idx="3">
                  <c:v>Geo Names</c:v>
                </c:pt>
                <c:pt idx="4">
                  <c:v>Jamendo</c:v>
                </c:pt>
                <c:pt idx="5">
                  <c:v>KEGG</c:v>
                </c:pt>
                <c:pt idx="6">
                  <c:v>Linked Movies</c:v>
                </c:pt>
                <c:pt idx="7">
                  <c:v>NY Times</c:v>
                </c:pt>
                <c:pt idx="8">
                  <c:v>SW Dog Food</c:v>
                </c:pt>
                <c:pt idx="9">
                  <c:v>LTCGA-M</c:v>
                </c:pt>
                <c:pt idx="10">
                  <c:v>Affymetrix</c:v>
                </c:pt>
                <c:pt idx="11">
                  <c:v>LTCGA-E</c:v>
                </c:pt>
                <c:pt idx="12">
                  <c:v>LTCGA-A</c:v>
                </c:pt>
              </c:strCache>
            </c:strRef>
          </c:cat>
          <c:val>
            <c:numRef>
              <c:f>'dataset structuredness'!$F$7:$F$19</c:f>
              <c:numCache>
                <c:formatCode>General</c:formatCode>
                <c:ptCount val="13"/>
                <c:pt idx="0">
                  <c:v>0.65769230769230758</c:v>
                </c:pt>
                <c:pt idx="1">
                  <c:v>0.65195747906480217</c:v>
                </c:pt>
                <c:pt idx="2">
                  <c:v>0.65195747906480217</c:v>
                </c:pt>
                <c:pt idx="3">
                  <c:v>0.65195747906480217</c:v>
                </c:pt>
                <c:pt idx="4">
                  <c:v>0.65195747906480217</c:v>
                </c:pt>
                <c:pt idx="5">
                  <c:v>0.65195747906480217</c:v>
                </c:pt>
                <c:pt idx="6">
                  <c:v>0.65195747906480217</c:v>
                </c:pt>
                <c:pt idx="7">
                  <c:v>0.65195747906480217</c:v>
                </c:pt>
                <c:pt idx="8">
                  <c:v>0.65195747906480217</c:v>
                </c:pt>
                <c:pt idx="9">
                  <c:v>0.65195747906480217</c:v>
                </c:pt>
                <c:pt idx="10">
                  <c:v>0.65195747906480217</c:v>
                </c:pt>
                <c:pt idx="11">
                  <c:v>0.65195747906480217</c:v>
                </c:pt>
                <c:pt idx="12">
                  <c:v>0.65195747906480217</c:v>
                </c:pt>
              </c:numCache>
            </c:numRef>
          </c:val>
          <c:smooth val="0"/>
        </c:ser>
        <c:dLbls>
          <c:showLegendKey val="0"/>
          <c:showVal val="0"/>
          <c:showCatName val="0"/>
          <c:showSerName val="0"/>
          <c:showPercent val="0"/>
          <c:showBubbleSize val="0"/>
        </c:dLbls>
        <c:marker val="1"/>
        <c:smooth val="0"/>
        <c:axId val="218795472"/>
        <c:axId val="218796032"/>
      </c:lineChart>
      <c:catAx>
        <c:axId val="2187954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218796032"/>
        <c:crosses val="autoZero"/>
        <c:auto val="1"/>
        <c:lblAlgn val="ctr"/>
        <c:lblOffset val="100"/>
        <c:noMultiLvlLbl val="0"/>
      </c:catAx>
      <c:valAx>
        <c:axId val="21879603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a:solidFill>
                      <a:schemeClr val="tx1"/>
                    </a:solidFill>
                  </a:rPr>
                  <a:t>Structuredness</a:t>
                </a:r>
              </a:p>
            </c:rich>
          </c:tx>
          <c:layout>
            <c:manualLayout>
              <c:xMode val="edge"/>
              <c:yMode val="edge"/>
              <c:x val="2.612916311927279E-3"/>
              <c:y val="0.328928799865865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879547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11450610847904499"/>
          <c:y val="1.7299744771225596E-2"/>
          <c:w val="0.8508559910989536"/>
          <c:h val="0.13802070395946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12</xdr:col>
      <xdr:colOff>268014</xdr:colOff>
      <xdr:row>25</xdr:row>
      <xdr:rowOff>152400</xdr:rowOff>
    </xdr:from>
    <xdr:to>
      <xdr:col>12</xdr:col>
      <xdr:colOff>504234</xdr:colOff>
      <xdr:row>28</xdr:row>
      <xdr:rowOff>83820</xdr:rowOff>
    </xdr:to>
    <xdr:sp macro="" textlink="">
      <xdr:nvSpPr>
        <xdr:cNvPr id="4" name="TextBox 3"/>
        <xdr:cNvSpPr txBox="1"/>
      </xdr:nvSpPr>
      <xdr:spPr>
        <a:xfrm>
          <a:off x="10164489" y="4943475"/>
          <a:ext cx="23622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IE" sz="800"/>
            <a:t>Timeout</a:t>
          </a:r>
        </a:p>
      </xdr:txBody>
    </xdr:sp>
    <xdr:clientData/>
  </xdr:twoCellAnchor>
  <xdr:twoCellAnchor>
    <xdr:from>
      <xdr:col>11</xdr:col>
      <xdr:colOff>185902</xdr:colOff>
      <xdr:row>25</xdr:row>
      <xdr:rowOff>188595</xdr:rowOff>
    </xdr:from>
    <xdr:to>
      <xdr:col>11</xdr:col>
      <xdr:colOff>422122</xdr:colOff>
      <xdr:row>28</xdr:row>
      <xdr:rowOff>135255</xdr:rowOff>
    </xdr:to>
    <xdr:sp macro="" textlink="">
      <xdr:nvSpPr>
        <xdr:cNvPr id="8" name="TextBox 7"/>
        <xdr:cNvSpPr txBox="1"/>
      </xdr:nvSpPr>
      <xdr:spPr>
        <a:xfrm>
          <a:off x="9472777" y="4979670"/>
          <a:ext cx="2362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IE" sz="800" baseline="0"/>
            <a:t> Timeout</a:t>
          </a:r>
          <a:endParaRPr lang="en-IE" sz="800"/>
        </a:p>
      </xdr:txBody>
    </xdr:sp>
    <xdr:clientData/>
  </xdr:twoCellAnchor>
  <xdr:twoCellAnchor>
    <xdr:from>
      <xdr:col>10</xdr:col>
      <xdr:colOff>601540</xdr:colOff>
      <xdr:row>1</xdr:row>
      <xdr:rowOff>24177</xdr:rowOff>
    </xdr:from>
    <xdr:to>
      <xdr:col>23</xdr:col>
      <xdr:colOff>247649</xdr:colOff>
      <xdr:row>16</xdr:row>
      <xdr:rowOff>180638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19</xdr:row>
      <xdr:rowOff>104775</xdr:rowOff>
    </xdr:from>
    <xdr:to>
      <xdr:col>19</xdr:col>
      <xdr:colOff>493834</xdr:colOff>
      <xdr:row>35</xdr:row>
      <xdr:rowOff>70736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569498</xdr:colOff>
      <xdr:row>29</xdr:row>
      <xdr:rowOff>30580</xdr:rowOff>
    </xdr:from>
    <xdr:to>
      <xdr:col>13</xdr:col>
      <xdr:colOff>24565</xdr:colOff>
      <xdr:row>34</xdr:row>
      <xdr:rowOff>69947</xdr:rowOff>
    </xdr:to>
    <xdr:sp macro="" textlink="">
      <xdr:nvSpPr>
        <xdr:cNvPr id="21" name="Textfeld 1"/>
        <xdr:cNvSpPr txBox="1"/>
      </xdr:nvSpPr>
      <xdr:spPr>
        <a:xfrm rot="16200000">
          <a:off x="10002874" y="6052770"/>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Not supported </a:t>
          </a:r>
        </a:p>
      </xdr:txBody>
    </xdr:sp>
    <xdr:clientData/>
  </xdr:twoCellAnchor>
  <xdr:twoCellAnchor>
    <xdr:from>
      <xdr:col>8</xdr:col>
      <xdr:colOff>238129</xdr:colOff>
      <xdr:row>29</xdr:row>
      <xdr:rowOff>38100</xdr:rowOff>
    </xdr:from>
    <xdr:to>
      <xdr:col>8</xdr:col>
      <xdr:colOff>304801</xdr:colOff>
      <xdr:row>34</xdr:row>
      <xdr:rowOff>77968</xdr:rowOff>
    </xdr:to>
    <xdr:sp macro="" textlink="">
      <xdr:nvSpPr>
        <xdr:cNvPr id="25" name="Textfeld 1"/>
        <xdr:cNvSpPr txBox="1"/>
      </xdr:nvSpPr>
      <xdr:spPr>
        <a:xfrm rot="16200000">
          <a:off x="7228593" y="6058786"/>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Runtime</a:t>
          </a:r>
          <a:r>
            <a:rPr lang="en-US" sz="800" b="1" baseline="0"/>
            <a:t> error</a:t>
          </a:r>
          <a:endParaRPr lang="en-US" sz="800" b="1"/>
        </a:p>
      </xdr:txBody>
    </xdr:sp>
    <xdr:clientData/>
  </xdr:twoCellAnchor>
  <xdr:twoCellAnchor>
    <xdr:from>
      <xdr:col>8</xdr:col>
      <xdr:colOff>295277</xdr:colOff>
      <xdr:row>25</xdr:row>
      <xdr:rowOff>152400</xdr:rowOff>
    </xdr:from>
    <xdr:to>
      <xdr:col>8</xdr:col>
      <xdr:colOff>361949</xdr:colOff>
      <xdr:row>31</xdr:row>
      <xdr:rowOff>1768</xdr:rowOff>
    </xdr:to>
    <xdr:sp macro="" textlink="">
      <xdr:nvSpPr>
        <xdr:cNvPr id="26" name="Textfeld 1"/>
        <xdr:cNvSpPr txBox="1"/>
      </xdr:nvSpPr>
      <xdr:spPr>
        <a:xfrm rot="16200000">
          <a:off x="7285741" y="5411086"/>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Runtime</a:t>
          </a:r>
          <a:r>
            <a:rPr lang="en-US" sz="800" b="1" baseline="0"/>
            <a:t> error</a:t>
          </a:r>
          <a:endParaRPr lang="en-US" sz="800" b="1"/>
        </a:p>
      </xdr:txBody>
    </xdr:sp>
    <xdr:clientData/>
  </xdr:twoCellAnchor>
  <xdr:twoCellAnchor>
    <xdr:from>
      <xdr:col>10</xdr:col>
      <xdr:colOff>523879</xdr:colOff>
      <xdr:row>28</xdr:row>
      <xdr:rowOff>152400</xdr:rowOff>
    </xdr:from>
    <xdr:to>
      <xdr:col>10</xdr:col>
      <xdr:colOff>590551</xdr:colOff>
      <xdr:row>34</xdr:row>
      <xdr:rowOff>1768</xdr:rowOff>
    </xdr:to>
    <xdr:sp macro="" textlink="">
      <xdr:nvSpPr>
        <xdr:cNvPr id="29" name="Textfeld 1"/>
        <xdr:cNvSpPr txBox="1"/>
      </xdr:nvSpPr>
      <xdr:spPr>
        <a:xfrm rot="16200000">
          <a:off x="8733543" y="5982586"/>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8</xdr:col>
      <xdr:colOff>561979</xdr:colOff>
      <xdr:row>29</xdr:row>
      <xdr:rowOff>0</xdr:rowOff>
    </xdr:from>
    <xdr:to>
      <xdr:col>9</xdr:col>
      <xdr:colOff>19051</xdr:colOff>
      <xdr:row>34</xdr:row>
      <xdr:rowOff>39868</xdr:rowOff>
    </xdr:to>
    <xdr:sp macro="" textlink="">
      <xdr:nvSpPr>
        <xdr:cNvPr id="31" name="Textfeld 1"/>
        <xdr:cNvSpPr txBox="1"/>
      </xdr:nvSpPr>
      <xdr:spPr>
        <a:xfrm rot="16200000">
          <a:off x="7552443" y="6020686"/>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Runtime</a:t>
          </a:r>
          <a:r>
            <a:rPr lang="en-US" sz="800" b="1" baseline="0"/>
            <a:t> error</a:t>
          </a:r>
          <a:endParaRPr lang="en-US" sz="800" b="1"/>
        </a:p>
      </xdr:txBody>
    </xdr:sp>
    <xdr:clientData/>
  </xdr:twoCellAnchor>
  <xdr:twoCellAnchor>
    <xdr:from>
      <xdr:col>11</xdr:col>
      <xdr:colOff>467729</xdr:colOff>
      <xdr:row>29</xdr:row>
      <xdr:rowOff>7018</xdr:rowOff>
    </xdr:from>
    <xdr:to>
      <xdr:col>11</xdr:col>
      <xdr:colOff>534401</xdr:colOff>
      <xdr:row>34</xdr:row>
      <xdr:rowOff>46886</xdr:rowOff>
    </xdr:to>
    <xdr:sp macro="" textlink="">
      <xdr:nvSpPr>
        <xdr:cNvPr id="32" name="Textfeld 1"/>
        <xdr:cNvSpPr txBox="1"/>
      </xdr:nvSpPr>
      <xdr:spPr>
        <a:xfrm rot="16200000">
          <a:off x="9289250" y="6029458"/>
          <a:ext cx="1002394"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Runtime</a:t>
          </a:r>
          <a:r>
            <a:rPr lang="en-US" sz="800" b="1" baseline="0"/>
            <a:t> error</a:t>
          </a:r>
          <a:endParaRPr lang="en-US" sz="800" b="1"/>
        </a:p>
      </xdr:txBody>
    </xdr:sp>
    <xdr:clientData/>
  </xdr:twoCellAnchor>
  <xdr:twoCellAnchor>
    <xdr:from>
      <xdr:col>12</xdr:col>
      <xdr:colOff>357943</xdr:colOff>
      <xdr:row>29</xdr:row>
      <xdr:rowOff>60659</xdr:rowOff>
    </xdr:from>
    <xdr:to>
      <xdr:col>12</xdr:col>
      <xdr:colOff>424615</xdr:colOff>
      <xdr:row>34</xdr:row>
      <xdr:rowOff>100527</xdr:rowOff>
    </xdr:to>
    <xdr:sp macro="" textlink="">
      <xdr:nvSpPr>
        <xdr:cNvPr id="33" name="Textfeld 1"/>
        <xdr:cNvSpPr txBox="1"/>
      </xdr:nvSpPr>
      <xdr:spPr>
        <a:xfrm rot="16200000">
          <a:off x="9791069" y="6083099"/>
          <a:ext cx="1002394"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12</xdr:col>
      <xdr:colOff>400053</xdr:colOff>
      <xdr:row>27</xdr:row>
      <xdr:rowOff>42611</xdr:rowOff>
    </xdr:from>
    <xdr:to>
      <xdr:col>12</xdr:col>
      <xdr:colOff>466725</xdr:colOff>
      <xdr:row>32</xdr:row>
      <xdr:rowOff>82479</xdr:rowOff>
    </xdr:to>
    <xdr:sp macro="" textlink="">
      <xdr:nvSpPr>
        <xdr:cNvPr id="34" name="Textfeld 1"/>
        <xdr:cNvSpPr txBox="1"/>
      </xdr:nvSpPr>
      <xdr:spPr>
        <a:xfrm rot="16200000">
          <a:off x="9833179" y="5684051"/>
          <a:ext cx="1002394"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13</xdr:col>
      <xdr:colOff>42616</xdr:colOff>
      <xdr:row>25</xdr:row>
      <xdr:rowOff>177967</xdr:rowOff>
    </xdr:from>
    <xdr:to>
      <xdr:col>13</xdr:col>
      <xdr:colOff>109288</xdr:colOff>
      <xdr:row>31</xdr:row>
      <xdr:rowOff>27335</xdr:rowOff>
    </xdr:to>
    <xdr:sp macro="" textlink="">
      <xdr:nvSpPr>
        <xdr:cNvPr id="35" name="Textfeld 1"/>
        <xdr:cNvSpPr txBox="1"/>
      </xdr:nvSpPr>
      <xdr:spPr>
        <a:xfrm rot="16200000">
          <a:off x="10081080" y="5436653"/>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16</xdr:col>
      <xdr:colOff>430133</xdr:colOff>
      <xdr:row>29</xdr:row>
      <xdr:rowOff>72691</xdr:rowOff>
    </xdr:from>
    <xdr:to>
      <xdr:col>16</xdr:col>
      <xdr:colOff>496805</xdr:colOff>
      <xdr:row>34</xdr:row>
      <xdr:rowOff>112559</xdr:rowOff>
    </xdr:to>
    <xdr:sp macro="" textlink="">
      <xdr:nvSpPr>
        <xdr:cNvPr id="38" name="Textfeld 1"/>
        <xdr:cNvSpPr txBox="1"/>
      </xdr:nvSpPr>
      <xdr:spPr>
        <a:xfrm rot="16200000">
          <a:off x="12309680" y="6095131"/>
          <a:ext cx="1002394"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16</xdr:col>
      <xdr:colOff>507335</xdr:colOff>
      <xdr:row>27</xdr:row>
      <xdr:rowOff>139867</xdr:rowOff>
    </xdr:from>
    <xdr:to>
      <xdr:col>16</xdr:col>
      <xdr:colOff>574007</xdr:colOff>
      <xdr:row>32</xdr:row>
      <xdr:rowOff>179735</xdr:rowOff>
    </xdr:to>
    <xdr:sp macro="" textlink="">
      <xdr:nvSpPr>
        <xdr:cNvPr id="39" name="Textfeld 1"/>
        <xdr:cNvSpPr txBox="1"/>
      </xdr:nvSpPr>
      <xdr:spPr>
        <a:xfrm rot="16200000">
          <a:off x="12386882" y="5781307"/>
          <a:ext cx="1002394"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17</xdr:col>
      <xdr:colOff>152404</xdr:colOff>
      <xdr:row>29</xdr:row>
      <xdr:rowOff>21557</xdr:rowOff>
    </xdr:from>
    <xdr:to>
      <xdr:col>17</xdr:col>
      <xdr:colOff>219076</xdr:colOff>
      <xdr:row>34</xdr:row>
      <xdr:rowOff>61425</xdr:rowOff>
    </xdr:to>
    <xdr:sp macro="" textlink="">
      <xdr:nvSpPr>
        <xdr:cNvPr id="40" name="Textfeld 1"/>
        <xdr:cNvSpPr txBox="1"/>
      </xdr:nvSpPr>
      <xdr:spPr>
        <a:xfrm rot="16200000">
          <a:off x="12629268" y="6042243"/>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9</xdr:col>
      <xdr:colOff>504097</xdr:colOff>
      <xdr:row>28</xdr:row>
      <xdr:rowOff>166321</xdr:rowOff>
    </xdr:from>
    <xdr:to>
      <xdr:col>9</xdr:col>
      <xdr:colOff>570769</xdr:colOff>
      <xdr:row>34</xdr:row>
      <xdr:rowOff>15689</xdr:rowOff>
    </xdr:to>
    <xdr:sp macro="" textlink="">
      <xdr:nvSpPr>
        <xdr:cNvPr id="22" name="Textfeld 1"/>
        <xdr:cNvSpPr txBox="1"/>
      </xdr:nvSpPr>
      <xdr:spPr>
        <a:xfrm rot="16200000">
          <a:off x="8104527" y="5988814"/>
          <a:ext cx="999695"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12</xdr:col>
      <xdr:colOff>476756</xdr:colOff>
      <xdr:row>28</xdr:row>
      <xdr:rowOff>157413</xdr:rowOff>
    </xdr:from>
    <xdr:to>
      <xdr:col>12</xdr:col>
      <xdr:colOff>543428</xdr:colOff>
      <xdr:row>34</xdr:row>
      <xdr:rowOff>6781</xdr:rowOff>
    </xdr:to>
    <xdr:sp macro="" textlink="">
      <xdr:nvSpPr>
        <xdr:cNvPr id="19" name="Textfeld 1"/>
        <xdr:cNvSpPr txBox="1"/>
      </xdr:nvSpPr>
      <xdr:spPr>
        <a:xfrm rot="16200000">
          <a:off x="9905620" y="5987599"/>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0.38801</cdr:x>
      <cdr:y>0.58211</cdr:y>
    </cdr:from>
    <cdr:to>
      <cdr:x>0.39679</cdr:x>
      <cdr:y>0.91342</cdr:y>
    </cdr:to>
    <cdr:sp macro="" textlink="">
      <cdr:nvSpPr>
        <cdr:cNvPr id="2" name="Textfeld 1"/>
        <cdr:cNvSpPr txBox="1"/>
      </cdr:nvSpPr>
      <cdr:spPr>
        <a:xfrm xmlns:a="http://schemas.openxmlformats.org/drawingml/2006/main" rot="16200000">
          <a:off x="2470003" y="2227620"/>
          <a:ext cx="1001712" cy="6647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00" b="1"/>
            <a:t>Runtime</a:t>
          </a:r>
          <a:r>
            <a:rPr lang="en-US" sz="800" b="1" baseline="0"/>
            <a:t> error</a:t>
          </a:r>
          <a:endParaRPr lang="en-US" sz="800" b="1"/>
        </a:p>
      </cdr:txBody>
    </cdr:sp>
  </cdr:relSizeAnchor>
  <cdr:relSizeAnchor xmlns:cdr="http://schemas.openxmlformats.org/drawingml/2006/chartDrawing">
    <cdr:from>
      <cdr:x>0.77014</cdr:x>
      <cdr:y>0.44285</cdr:y>
    </cdr:from>
    <cdr:to>
      <cdr:x>0.77892</cdr:x>
      <cdr:y>0.77417</cdr:y>
    </cdr:to>
    <cdr:sp macro="" textlink="">
      <cdr:nvSpPr>
        <cdr:cNvPr id="4" name="Textfeld 1"/>
        <cdr:cNvSpPr txBox="1"/>
      </cdr:nvSpPr>
      <cdr:spPr>
        <a:xfrm xmlns:a="http://schemas.openxmlformats.org/drawingml/2006/main" rot="16200000">
          <a:off x="5373190" y="1807549"/>
          <a:ext cx="1002299" cy="6659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00" b="1"/>
            <a:t>Runtime</a:t>
          </a:r>
          <a:r>
            <a:rPr lang="en-US" sz="800" b="1" baseline="0"/>
            <a:t> error</a:t>
          </a:r>
          <a:endParaRPr lang="en-US" sz="800" b="1"/>
        </a:p>
      </cdr:txBody>
    </cdr:sp>
  </cdr:relSizeAnchor>
  <cdr:relSizeAnchor xmlns:cdr="http://schemas.openxmlformats.org/drawingml/2006/chartDrawing">
    <cdr:from>
      <cdr:x>0.79942</cdr:x>
      <cdr:y>0.46772</cdr:y>
    </cdr:from>
    <cdr:to>
      <cdr:x>0.8082</cdr:x>
      <cdr:y>0.79904</cdr:y>
    </cdr:to>
    <cdr:sp macro="" textlink="">
      <cdr:nvSpPr>
        <cdr:cNvPr id="5" name="Textfeld 1"/>
        <cdr:cNvSpPr txBox="1"/>
      </cdr:nvSpPr>
      <cdr:spPr>
        <a:xfrm xmlns:a="http://schemas.openxmlformats.org/drawingml/2006/main" rot="16200000">
          <a:off x="5603992" y="1881990"/>
          <a:ext cx="1001893" cy="6667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00" b="1"/>
            <a:t>Runtime</a:t>
          </a:r>
          <a:r>
            <a:rPr lang="en-US" sz="800" b="1" baseline="0"/>
            <a:t> error</a:t>
          </a:r>
          <a:endParaRPr lang="en-US" sz="800" b="1"/>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3</xdr:colOff>
      <xdr:row>36</xdr:row>
      <xdr:rowOff>142875</xdr:rowOff>
    </xdr:from>
    <xdr:to>
      <xdr:col>17</xdr:col>
      <xdr:colOff>847724</xdr:colOff>
      <xdr:row>50</xdr:row>
      <xdr:rowOff>42862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333375</xdr:colOff>
      <xdr:row>36</xdr:row>
      <xdr:rowOff>123825</xdr:rowOff>
    </xdr:from>
    <xdr:to>
      <xdr:col>23</xdr:col>
      <xdr:colOff>742946</xdr:colOff>
      <xdr:row>50</xdr:row>
      <xdr:rowOff>23812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457200</xdr:colOff>
      <xdr:row>36</xdr:row>
      <xdr:rowOff>171450</xdr:rowOff>
    </xdr:from>
    <xdr:to>
      <xdr:col>29</xdr:col>
      <xdr:colOff>619121</xdr:colOff>
      <xdr:row>50</xdr:row>
      <xdr:rowOff>71437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0</xdr:colOff>
      <xdr:row>37</xdr:row>
      <xdr:rowOff>0</xdr:rowOff>
    </xdr:from>
    <xdr:to>
      <xdr:col>35</xdr:col>
      <xdr:colOff>847721</xdr:colOff>
      <xdr:row>50</xdr:row>
      <xdr:rowOff>90487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227542</xdr:colOff>
      <xdr:row>29</xdr:row>
      <xdr:rowOff>53712</xdr:rowOff>
    </xdr:from>
    <xdr:to>
      <xdr:col>16</xdr:col>
      <xdr:colOff>895085</xdr:colOff>
      <xdr:row>42</xdr:row>
      <xdr:rowOff>86783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165629</xdr:colOff>
      <xdr:row>14</xdr:row>
      <xdr:rowOff>191030</xdr:rowOff>
    </xdr:from>
    <xdr:to>
      <xdr:col>26</xdr:col>
      <xdr:colOff>672832</xdr:colOff>
      <xdr:row>28</xdr:row>
      <xdr:rowOff>78581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488157</xdr:colOff>
      <xdr:row>83</xdr:row>
      <xdr:rowOff>16669</xdr:rowOff>
    </xdr:from>
    <xdr:to>
      <xdr:col>12</xdr:col>
      <xdr:colOff>235740</xdr:colOff>
      <xdr:row>96</xdr:row>
      <xdr:rowOff>147637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713317</xdr:colOff>
      <xdr:row>34</xdr:row>
      <xdr:rowOff>78315</xdr:rowOff>
    </xdr:from>
    <xdr:to>
      <xdr:col>9</xdr:col>
      <xdr:colOff>968637</xdr:colOff>
      <xdr:row>47</xdr:row>
      <xdr:rowOff>66409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84668</xdr:colOff>
      <xdr:row>0</xdr:row>
      <xdr:rowOff>152925</xdr:rowOff>
    </xdr:from>
    <xdr:to>
      <xdr:col>26</xdr:col>
      <xdr:colOff>560918</xdr:colOff>
      <xdr:row>13</xdr:row>
      <xdr:rowOff>136150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796926</xdr:colOff>
      <xdr:row>55</xdr:row>
      <xdr:rowOff>147637</xdr:rowOff>
    </xdr:from>
    <xdr:to>
      <xdr:col>25</xdr:col>
      <xdr:colOff>528025</xdr:colOff>
      <xdr:row>68</xdr:row>
      <xdr:rowOff>120808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30040</xdr:colOff>
      <xdr:row>1</xdr:row>
      <xdr:rowOff>195627</xdr:rowOff>
    </xdr:from>
    <xdr:to>
      <xdr:col>17</xdr:col>
      <xdr:colOff>285749</xdr:colOff>
      <xdr:row>17</xdr:row>
      <xdr:rowOff>161588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430133</xdr:colOff>
      <xdr:row>28</xdr:row>
      <xdr:rowOff>72691</xdr:rowOff>
    </xdr:from>
    <xdr:to>
      <xdr:col>12</xdr:col>
      <xdr:colOff>496805</xdr:colOff>
      <xdr:row>33</xdr:row>
      <xdr:rowOff>112559</xdr:rowOff>
    </xdr:to>
    <xdr:sp macro="" textlink="">
      <xdr:nvSpPr>
        <xdr:cNvPr id="15" name="Textfeld 1"/>
        <xdr:cNvSpPr txBox="1"/>
      </xdr:nvSpPr>
      <xdr:spPr>
        <a:xfrm rot="16200000">
          <a:off x="12297397" y="6093377"/>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12</xdr:col>
      <xdr:colOff>507335</xdr:colOff>
      <xdr:row>26</xdr:row>
      <xdr:rowOff>139867</xdr:rowOff>
    </xdr:from>
    <xdr:to>
      <xdr:col>12</xdr:col>
      <xdr:colOff>574007</xdr:colOff>
      <xdr:row>31</xdr:row>
      <xdr:rowOff>179735</xdr:rowOff>
    </xdr:to>
    <xdr:sp macro="" textlink="">
      <xdr:nvSpPr>
        <xdr:cNvPr id="16" name="Textfeld 1"/>
        <xdr:cNvSpPr txBox="1"/>
      </xdr:nvSpPr>
      <xdr:spPr>
        <a:xfrm rot="16200000">
          <a:off x="12374599" y="5779553"/>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13</xdr:col>
      <xdr:colOff>133353</xdr:colOff>
      <xdr:row>28</xdr:row>
      <xdr:rowOff>21557</xdr:rowOff>
    </xdr:from>
    <xdr:to>
      <xdr:col>13</xdr:col>
      <xdr:colOff>200025</xdr:colOff>
      <xdr:row>33</xdr:row>
      <xdr:rowOff>61425</xdr:rowOff>
    </xdr:to>
    <xdr:sp macro="" textlink="">
      <xdr:nvSpPr>
        <xdr:cNvPr id="17" name="Textfeld 1"/>
        <xdr:cNvSpPr txBox="1"/>
      </xdr:nvSpPr>
      <xdr:spPr>
        <a:xfrm rot="16200000">
          <a:off x="12610217" y="6042243"/>
          <a:ext cx="1001893" cy="666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800" b="1"/>
            <a:t>Time out</a:t>
          </a:r>
        </a:p>
        <a:p>
          <a:endParaRPr lang="en-US" sz="800"/>
        </a:p>
      </xdr:txBody>
    </xdr:sp>
    <xdr:clientData/>
  </xdr:twoCellAnchor>
  <xdr:twoCellAnchor>
    <xdr:from>
      <xdr:col>11</xdr:col>
      <xdr:colOff>28575</xdr:colOff>
      <xdr:row>19</xdr:row>
      <xdr:rowOff>123825</xdr:rowOff>
    </xdr:from>
    <xdr:to>
      <xdr:col>23</xdr:col>
      <xdr:colOff>284284</xdr:colOff>
      <xdr:row>35</xdr:row>
      <xdr:rowOff>89786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0.0931</cdr:x>
      <cdr:y>0.33709</cdr:y>
    </cdr:from>
    <cdr:to>
      <cdr:x>0.12623</cdr:x>
      <cdr:y>0.94044</cdr:y>
    </cdr:to>
    <cdr:sp macro="" textlink="">
      <cdr:nvSpPr>
        <cdr:cNvPr id="2" name="Textfeld 1"/>
        <cdr:cNvSpPr txBox="1"/>
      </cdr:nvSpPr>
      <cdr:spPr>
        <a:xfrm xmlns:a="http://schemas.openxmlformats.org/drawingml/2006/main" rot="16200000">
          <a:off x="-81846" y="1805874"/>
          <a:ext cx="1824219" cy="2508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Runtime</a:t>
          </a:r>
          <a:r>
            <a:rPr lang="en-US" sz="1100" b="1" baseline="0"/>
            <a:t> error</a:t>
          </a:r>
          <a:endParaRPr lang="en-US" sz="1100" b="1"/>
        </a:p>
      </cdr:txBody>
    </cdr:sp>
  </cdr:relSizeAnchor>
  <cdr:relSizeAnchor xmlns:cdr="http://schemas.openxmlformats.org/drawingml/2006/chartDrawing">
    <cdr:from>
      <cdr:x>0.19668</cdr:x>
      <cdr:y>0.33499</cdr:y>
    </cdr:from>
    <cdr:to>
      <cdr:x>0.22981</cdr:x>
      <cdr:y>0.93834</cdr:y>
    </cdr:to>
    <cdr:sp macro="" textlink="">
      <cdr:nvSpPr>
        <cdr:cNvPr id="3" name="Textfeld 1"/>
        <cdr:cNvSpPr txBox="1"/>
      </cdr:nvSpPr>
      <cdr:spPr>
        <a:xfrm xmlns:a="http://schemas.openxmlformats.org/drawingml/2006/main" rot="16200000">
          <a:off x="702376" y="1799525"/>
          <a:ext cx="1824219" cy="2508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Time out</a:t>
          </a:r>
        </a:p>
      </cdr:txBody>
    </cdr:sp>
  </cdr:relSizeAnchor>
  <cdr:relSizeAnchor xmlns:cdr="http://schemas.openxmlformats.org/drawingml/2006/chartDrawing">
    <cdr:from>
      <cdr:x>0.28224</cdr:x>
      <cdr:y>0.33184</cdr:y>
    </cdr:from>
    <cdr:to>
      <cdr:x>0.31536</cdr:x>
      <cdr:y>0.93519</cdr:y>
    </cdr:to>
    <cdr:sp macro="" textlink="">
      <cdr:nvSpPr>
        <cdr:cNvPr id="4" name="Textfeld 1"/>
        <cdr:cNvSpPr txBox="1"/>
      </cdr:nvSpPr>
      <cdr:spPr>
        <a:xfrm xmlns:a="http://schemas.openxmlformats.org/drawingml/2006/main" rot="16200000">
          <a:off x="1350076" y="1790000"/>
          <a:ext cx="1824219" cy="2508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Time out</a:t>
          </a:r>
        </a:p>
      </cdr:txBody>
    </cdr:sp>
  </cdr:relSizeAnchor>
  <cdr:relSizeAnchor xmlns:cdr="http://schemas.openxmlformats.org/drawingml/2006/chartDrawing">
    <cdr:from>
      <cdr:x>0.42063</cdr:x>
      <cdr:y>0.33814</cdr:y>
    </cdr:from>
    <cdr:to>
      <cdr:x>0.45376</cdr:x>
      <cdr:y>0.94149</cdr:y>
    </cdr:to>
    <cdr:sp macro="" textlink="">
      <cdr:nvSpPr>
        <cdr:cNvPr id="5" name="Textfeld 1"/>
        <cdr:cNvSpPr txBox="1"/>
      </cdr:nvSpPr>
      <cdr:spPr>
        <a:xfrm xmlns:a="http://schemas.openxmlformats.org/drawingml/2006/main" rot="16200000">
          <a:off x="2397826" y="1809049"/>
          <a:ext cx="1824219" cy="2508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Time out</a:t>
          </a:r>
        </a:p>
      </cdr:txBody>
    </cdr:sp>
  </cdr:relSizeAnchor>
  <cdr:relSizeAnchor xmlns:cdr="http://schemas.openxmlformats.org/drawingml/2006/chartDrawing">
    <cdr:from>
      <cdr:x>0.43698</cdr:x>
      <cdr:y>0.19637</cdr:y>
    </cdr:from>
    <cdr:to>
      <cdr:x>0.47011</cdr:x>
      <cdr:y>0.79972</cdr:y>
    </cdr:to>
    <cdr:sp macro="" textlink="">
      <cdr:nvSpPr>
        <cdr:cNvPr id="6" name="Textfeld 1"/>
        <cdr:cNvSpPr txBox="1"/>
      </cdr:nvSpPr>
      <cdr:spPr>
        <a:xfrm xmlns:a="http://schemas.openxmlformats.org/drawingml/2006/main" rot="16200000">
          <a:off x="2521651" y="1380424"/>
          <a:ext cx="1824219" cy="2508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Runtime</a:t>
          </a:r>
          <a:r>
            <a:rPr lang="en-US" sz="1100" b="1" baseline="0"/>
            <a:t> error</a:t>
          </a:r>
          <a:endParaRPr lang="en-US" sz="1100" b="1"/>
        </a:p>
      </cdr:txBody>
    </cdr:sp>
  </cdr:relSizeAnchor>
  <cdr:relSizeAnchor xmlns:cdr="http://schemas.openxmlformats.org/drawingml/2006/chartDrawing">
    <cdr:from>
      <cdr:x>0.75779</cdr:x>
      <cdr:y>0.32869</cdr:y>
    </cdr:from>
    <cdr:to>
      <cdr:x>0.79092</cdr:x>
      <cdr:y>0.93204</cdr:y>
    </cdr:to>
    <cdr:sp macro="" textlink="">
      <cdr:nvSpPr>
        <cdr:cNvPr id="7" name="Textfeld 1"/>
        <cdr:cNvSpPr txBox="1"/>
      </cdr:nvSpPr>
      <cdr:spPr>
        <a:xfrm xmlns:a="http://schemas.openxmlformats.org/drawingml/2006/main" rot="16200000">
          <a:off x="4950495" y="1780487"/>
          <a:ext cx="1824220" cy="2508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Time out</a:t>
          </a:r>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819151</xdr:colOff>
      <xdr:row>21</xdr:row>
      <xdr:rowOff>161925</xdr:rowOff>
    </xdr:from>
    <xdr:to>
      <xdr:col>9</xdr:col>
      <xdr:colOff>19050</xdr:colOff>
      <xdr:row>34</xdr:row>
      <xdr:rowOff>138112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5"/>
  <sheetViews>
    <sheetView topLeftCell="A26" zoomScaleNormal="100" workbookViewId="0">
      <selection activeCell="G46" sqref="G46"/>
    </sheetView>
  </sheetViews>
  <sheetFormatPr defaultRowHeight="15" x14ac:dyDescent="0.25"/>
  <cols>
    <col min="1" max="1" width="11.28515625" customWidth="1"/>
    <col min="2" max="2" width="14.28515625" customWidth="1"/>
    <col min="3" max="3" width="19.42578125" customWidth="1"/>
    <col min="4" max="4" width="23.140625" customWidth="1"/>
    <col min="5" max="5" width="18.140625" customWidth="1"/>
    <col min="6" max="6" width="22" customWidth="1"/>
    <col min="7" max="7" width="24.85546875" customWidth="1"/>
    <col min="8" max="8" width="23" customWidth="1"/>
    <col min="20" max="20" width="25.140625" customWidth="1"/>
  </cols>
  <sheetData>
    <row r="1" spans="1:10" x14ac:dyDescent="0.25">
      <c r="A1" s="1"/>
      <c r="B1" s="2" t="s">
        <v>2</v>
      </c>
      <c r="C1" s="2"/>
      <c r="D1" s="2"/>
    </row>
    <row r="2" spans="1:10" ht="15.75" thickBot="1" x14ac:dyDescent="0.3">
      <c r="A2" s="1"/>
      <c r="B2" s="1"/>
      <c r="C2" s="1"/>
      <c r="D2" s="1"/>
    </row>
    <row r="3" spans="1:10" x14ac:dyDescent="0.25">
      <c r="A3" s="4" t="s">
        <v>1</v>
      </c>
      <c r="B3" s="5" t="s">
        <v>18</v>
      </c>
      <c r="C3" s="5" t="s">
        <v>19</v>
      </c>
      <c r="D3" s="6" t="s">
        <v>3</v>
      </c>
      <c r="E3" s="7" t="s">
        <v>20</v>
      </c>
      <c r="F3" s="5" t="s">
        <v>21</v>
      </c>
      <c r="G3" s="8" t="s">
        <v>22</v>
      </c>
    </row>
    <row r="4" spans="1:10" x14ac:dyDescent="0.25">
      <c r="A4" s="9" t="s">
        <v>4</v>
      </c>
      <c r="B4" s="10">
        <v>430</v>
      </c>
      <c r="C4" s="10">
        <v>248</v>
      </c>
      <c r="D4" s="10">
        <v>996</v>
      </c>
      <c r="E4" s="15">
        <v>278</v>
      </c>
      <c r="F4" s="10">
        <v>240</v>
      </c>
      <c r="G4" s="14">
        <v>270</v>
      </c>
      <c r="I4" s="112">
        <v>227</v>
      </c>
      <c r="J4" s="112">
        <f>E4-'source selection'!O8</f>
        <v>51</v>
      </c>
    </row>
    <row r="5" spans="1:10" x14ac:dyDescent="0.25">
      <c r="A5" s="9" t="s">
        <v>5</v>
      </c>
      <c r="B5" s="10">
        <v>330</v>
      </c>
      <c r="C5" s="10">
        <v>192</v>
      </c>
      <c r="D5" s="10">
        <v>395</v>
      </c>
      <c r="E5" s="15">
        <v>80</v>
      </c>
      <c r="F5" s="10">
        <v>199</v>
      </c>
      <c r="G5" s="14">
        <v>169</v>
      </c>
      <c r="I5" s="112">
        <v>46</v>
      </c>
      <c r="J5" s="112">
        <f>E5-'source selection'!O9</f>
        <v>34</v>
      </c>
    </row>
    <row r="6" spans="1:10" x14ac:dyDescent="0.25">
      <c r="A6" s="9" t="s">
        <v>6</v>
      </c>
      <c r="B6" s="10">
        <v>500</v>
      </c>
      <c r="C6" s="10">
        <v>255</v>
      </c>
      <c r="D6" s="10">
        <v>695</v>
      </c>
      <c r="E6" s="15">
        <v>116</v>
      </c>
      <c r="F6" s="10">
        <v>180</v>
      </c>
      <c r="G6" s="14">
        <v>503</v>
      </c>
      <c r="I6" s="112">
        <v>70</v>
      </c>
      <c r="J6" s="112">
        <f>E6-'source selection'!O10</f>
        <v>46</v>
      </c>
    </row>
    <row r="7" spans="1:10" x14ac:dyDescent="0.25">
      <c r="A7" s="9" t="s">
        <v>7</v>
      </c>
      <c r="B7" s="10">
        <v>540</v>
      </c>
      <c r="C7" s="11">
        <v>270</v>
      </c>
      <c r="D7" s="10">
        <v>509</v>
      </c>
      <c r="E7" s="15">
        <v>118</v>
      </c>
      <c r="F7" s="10">
        <v>300</v>
      </c>
      <c r="G7" s="14">
        <v>313</v>
      </c>
      <c r="I7" s="112">
        <v>74</v>
      </c>
      <c r="J7" s="112">
        <f>E7-'source selection'!O11</f>
        <v>44</v>
      </c>
    </row>
    <row r="8" spans="1:10" x14ac:dyDescent="0.25">
      <c r="A8" s="9" t="s">
        <v>8</v>
      </c>
      <c r="B8" s="10">
        <v>478</v>
      </c>
      <c r="C8" s="11">
        <v>233</v>
      </c>
      <c r="D8" s="10">
        <v>648</v>
      </c>
      <c r="E8" s="15">
        <v>349</v>
      </c>
      <c r="F8" s="10">
        <v>229</v>
      </c>
      <c r="G8" s="14">
        <v>340</v>
      </c>
      <c r="I8" s="112">
        <v>65</v>
      </c>
      <c r="J8" s="112">
        <f>E8-'source selection'!O12</f>
        <v>284</v>
      </c>
    </row>
    <row r="9" spans="1:10" x14ac:dyDescent="0.25">
      <c r="A9" s="9" t="s">
        <v>9</v>
      </c>
      <c r="B9" s="10">
        <v>1840</v>
      </c>
      <c r="C9" s="11">
        <v>1789</v>
      </c>
      <c r="D9" s="10">
        <v>70131</v>
      </c>
      <c r="E9" s="15">
        <v>308514</v>
      </c>
      <c r="F9" s="10">
        <v>1790</v>
      </c>
      <c r="G9" s="14">
        <v>36035</v>
      </c>
      <c r="I9" s="112">
        <v>197</v>
      </c>
      <c r="J9" s="112">
        <f>E9-'source selection'!O13</f>
        <v>308317</v>
      </c>
    </row>
    <row r="10" spans="1:10" x14ac:dyDescent="0.25">
      <c r="A10" s="9" t="s">
        <v>10</v>
      </c>
      <c r="B10" s="10">
        <v>948</v>
      </c>
      <c r="C10" s="11">
        <v>745</v>
      </c>
      <c r="D10" s="10">
        <v>8246</v>
      </c>
      <c r="E10" s="15">
        <v>298954</v>
      </c>
      <c r="F10" s="10">
        <v>700</v>
      </c>
      <c r="G10" s="14">
        <v>8221</v>
      </c>
      <c r="I10" s="112">
        <v>273</v>
      </c>
      <c r="J10" s="112">
        <f>E10-'source selection'!O14</f>
        <v>298681</v>
      </c>
    </row>
    <row r="11" spans="1:10" x14ac:dyDescent="0.25">
      <c r="A11" s="9" t="s">
        <v>11</v>
      </c>
      <c r="B11" s="11">
        <v>650</v>
      </c>
      <c r="C11" s="11">
        <v>393</v>
      </c>
      <c r="D11" s="11">
        <v>494</v>
      </c>
      <c r="E11" s="16">
        <v>454</v>
      </c>
      <c r="F11" s="11">
        <v>398</v>
      </c>
      <c r="G11" s="17">
        <v>310</v>
      </c>
      <c r="I11" s="112">
        <v>51</v>
      </c>
      <c r="J11" s="112">
        <f>E11-'source selection'!O15</f>
        <v>403</v>
      </c>
    </row>
    <row r="12" spans="1:10" x14ac:dyDescent="0.25">
      <c r="A12" s="9" t="s">
        <v>12</v>
      </c>
      <c r="B12" s="10">
        <v>672</v>
      </c>
      <c r="C12" s="11">
        <v>490</v>
      </c>
      <c r="D12" s="10">
        <v>2640</v>
      </c>
      <c r="E12" s="15">
        <v>1024</v>
      </c>
      <c r="F12" s="10">
        <v>429</v>
      </c>
      <c r="G12" s="14">
        <v>1530</v>
      </c>
      <c r="I12" s="112">
        <v>356</v>
      </c>
      <c r="J12" s="112">
        <f>E12-'source selection'!O16</f>
        <v>668</v>
      </c>
    </row>
    <row r="13" spans="1:10" x14ac:dyDescent="0.25">
      <c r="A13" s="9" t="s">
        <v>13</v>
      </c>
      <c r="B13" s="10">
        <v>9585</v>
      </c>
      <c r="C13" s="11">
        <v>9210</v>
      </c>
      <c r="D13" s="10">
        <v>17868</v>
      </c>
      <c r="E13" s="15">
        <v>18949</v>
      </c>
      <c r="F13" s="10">
        <v>9288</v>
      </c>
      <c r="G13" s="14">
        <v>15130</v>
      </c>
      <c r="I13" s="112">
        <v>262</v>
      </c>
      <c r="J13" s="112">
        <f>E13-'source selection'!O17</f>
        <v>18687</v>
      </c>
    </row>
    <row r="14" spans="1:10" x14ac:dyDescent="0.25">
      <c r="A14" s="9" t="s">
        <v>14</v>
      </c>
      <c r="B14" s="10">
        <v>343</v>
      </c>
      <c r="C14" s="11">
        <v>159</v>
      </c>
      <c r="D14" s="10">
        <v>461</v>
      </c>
      <c r="E14" s="15">
        <v>17496</v>
      </c>
      <c r="F14" s="10">
        <v>165</v>
      </c>
      <c r="G14" s="14">
        <v>470</v>
      </c>
      <c r="I14" s="112">
        <v>333</v>
      </c>
      <c r="J14" s="112">
        <f>E14-'source selection'!O18</f>
        <v>17163</v>
      </c>
    </row>
    <row r="15" spans="1:10" x14ac:dyDescent="0.25">
      <c r="A15" s="9" t="s">
        <v>15</v>
      </c>
      <c r="B15" s="10">
        <v>4966</v>
      </c>
      <c r="C15" s="11">
        <v>4711</v>
      </c>
      <c r="D15" s="10">
        <v>112396</v>
      </c>
      <c r="E15" s="15">
        <v>5151</v>
      </c>
      <c r="F15" s="10">
        <v>4611</v>
      </c>
      <c r="G15" s="14">
        <v>97110</v>
      </c>
      <c r="I15" s="112">
        <v>105</v>
      </c>
      <c r="J15" s="112">
        <f>E15-'source selection'!O19</f>
        <v>5046</v>
      </c>
    </row>
    <row r="16" spans="1:10" x14ac:dyDescent="0.25">
      <c r="A16" s="9" t="s">
        <v>16</v>
      </c>
      <c r="B16" s="10">
        <v>30233</v>
      </c>
      <c r="C16" s="11">
        <v>30190</v>
      </c>
      <c r="D16" s="10">
        <v>6586</v>
      </c>
      <c r="E16" s="15">
        <v>5845</v>
      </c>
      <c r="F16" s="11">
        <v>30100</v>
      </c>
      <c r="G16" s="14">
        <v>5820</v>
      </c>
      <c r="I16" s="112">
        <v>180</v>
      </c>
      <c r="J16" s="112">
        <f>E16-'source selection'!O20</f>
        <v>5665</v>
      </c>
    </row>
    <row r="17" spans="1:10" x14ac:dyDescent="0.25">
      <c r="A17" s="9" t="s">
        <v>17</v>
      </c>
      <c r="B17" s="10">
        <v>12830</v>
      </c>
      <c r="C17" s="11">
        <v>12727</v>
      </c>
      <c r="D17" s="10">
        <v>861731</v>
      </c>
      <c r="E17" s="15">
        <v>3870</v>
      </c>
      <c r="F17" s="10">
        <v>12745</v>
      </c>
      <c r="G17" s="14">
        <v>751211</v>
      </c>
      <c r="I17" s="112">
        <v>81</v>
      </c>
      <c r="J17" s="112">
        <f>E17-'source selection'!O21</f>
        <v>3789</v>
      </c>
    </row>
    <row r="18" spans="1:10" ht="15.75" thickBot="1" x14ac:dyDescent="0.3">
      <c r="A18" s="12" t="s">
        <v>136</v>
      </c>
      <c r="B18" s="13">
        <f t="shared" ref="B18:G18" si="0">AVERAGE(B4:B17)</f>
        <v>4596.0714285714284</v>
      </c>
      <c r="C18" s="13">
        <f t="shared" si="0"/>
        <v>4400.8571428571431</v>
      </c>
      <c r="D18" s="13">
        <f t="shared" si="0"/>
        <v>77414</v>
      </c>
      <c r="E18" s="13">
        <f t="shared" si="0"/>
        <v>47228.428571428572</v>
      </c>
      <c r="F18" s="13">
        <f t="shared" si="0"/>
        <v>4383.8571428571431</v>
      </c>
      <c r="G18" s="13">
        <f t="shared" si="0"/>
        <v>65530.857142857145</v>
      </c>
    </row>
    <row r="19" spans="1:10" ht="15.75" thickBot="1" x14ac:dyDescent="0.3"/>
    <row r="20" spans="1:10" x14ac:dyDescent="0.25">
      <c r="A20" s="4" t="s">
        <v>1</v>
      </c>
      <c r="B20" s="5" t="s">
        <v>18</v>
      </c>
      <c r="C20" s="5" t="s">
        <v>19</v>
      </c>
      <c r="D20" s="6" t="s">
        <v>3</v>
      </c>
      <c r="E20" s="7" t="s">
        <v>20</v>
      </c>
      <c r="F20" s="5" t="s">
        <v>21</v>
      </c>
      <c r="G20" s="8" t="s">
        <v>22</v>
      </c>
    </row>
    <row r="21" spans="1:10" x14ac:dyDescent="0.25">
      <c r="A21" s="9" t="s">
        <v>23</v>
      </c>
      <c r="B21" s="10" t="s">
        <v>33</v>
      </c>
      <c r="C21" s="10" t="s">
        <v>33</v>
      </c>
      <c r="D21" s="10">
        <v>71415</v>
      </c>
      <c r="E21" s="15">
        <v>10318</v>
      </c>
      <c r="F21" s="10" t="s">
        <v>33</v>
      </c>
      <c r="G21" s="14">
        <v>65420</v>
      </c>
    </row>
    <row r="22" spans="1:10" x14ac:dyDescent="0.25">
      <c r="A22" s="9" t="s">
        <v>24</v>
      </c>
      <c r="B22" s="10">
        <v>4391</v>
      </c>
      <c r="C22" s="10">
        <v>4106</v>
      </c>
      <c r="D22" s="10">
        <v>98212</v>
      </c>
      <c r="E22" s="15" t="s">
        <v>33</v>
      </c>
      <c r="F22" s="10">
        <v>4000</v>
      </c>
      <c r="G22" s="14">
        <v>77121</v>
      </c>
    </row>
    <row r="23" spans="1:10" x14ac:dyDescent="0.25">
      <c r="A23" s="9" t="s">
        <v>25</v>
      </c>
      <c r="B23" s="10">
        <v>28416</v>
      </c>
      <c r="C23" s="10">
        <v>28370</v>
      </c>
      <c r="D23" s="10">
        <v>240171</v>
      </c>
      <c r="E23" s="15" t="s">
        <v>34</v>
      </c>
      <c r="F23" s="10">
        <v>23703</v>
      </c>
      <c r="G23" s="14">
        <v>126284</v>
      </c>
    </row>
    <row r="24" spans="1:10" x14ac:dyDescent="0.25">
      <c r="A24" s="9" t="s">
        <v>26</v>
      </c>
      <c r="B24" s="10">
        <v>922368</v>
      </c>
      <c r="C24" s="11">
        <v>922276</v>
      </c>
      <c r="D24" s="10" t="s">
        <v>33</v>
      </c>
      <c r="E24" s="15">
        <v>145615</v>
      </c>
      <c r="F24" s="10">
        <v>902131</v>
      </c>
      <c r="G24" s="14" t="s">
        <v>33</v>
      </c>
    </row>
    <row r="25" spans="1:10" x14ac:dyDescent="0.25">
      <c r="A25" s="9" t="s">
        <v>27</v>
      </c>
      <c r="B25" s="10" t="s">
        <v>34</v>
      </c>
      <c r="C25" s="11" t="s">
        <v>34</v>
      </c>
      <c r="D25" s="10" t="s">
        <v>272</v>
      </c>
      <c r="E25" s="15" t="s">
        <v>33</v>
      </c>
      <c r="F25" s="10" t="s">
        <v>34</v>
      </c>
      <c r="G25" s="14">
        <v>869922</v>
      </c>
    </row>
    <row r="26" spans="1:10" x14ac:dyDescent="0.25">
      <c r="A26" s="9" t="s">
        <v>28</v>
      </c>
      <c r="B26" s="10">
        <v>48530</v>
      </c>
      <c r="C26" s="11">
        <v>48639</v>
      </c>
      <c r="D26" s="10">
        <v>46276</v>
      </c>
      <c r="E26" s="15">
        <v>19991</v>
      </c>
      <c r="F26" s="10">
        <v>40719</v>
      </c>
      <c r="G26" s="14">
        <v>28276</v>
      </c>
    </row>
    <row r="27" spans="1:10" x14ac:dyDescent="0.25">
      <c r="A27" s="9" t="s">
        <v>29</v>
      </c>
      <c r="B27" s="10">
        <v>2945</v>
      </c>
      <c r="C27" s="11">
        <v>2645</v>
      </c>
      <c r="D27" s="10">
        <v>13517</v>
      </c>
      <c r="E27" s="15">
        <v>1348</v>
      </c>
      <c r="F27" s="10">
        <v>2517</v>
      </c>
      <c r="G27" s="14">
        <v>1860</v>
      </c>
    </row>
    <row r="28" spans="1:10" x14ac:dyDescent="0.25">
      <c r="A28" s="9" t="s">
        <v>30</v>
      </c>
      <c r="B28" s="11">
        <v>13457</v>
      </c>
      <c r="C28" s="11">
        <v>13200</v>
      </c>
      <c r="D28" s="11">
        <v>99691</v>
      </c>
      <c r="E28" s="16">
        <v>2643</v>
      </c>
      <c r="F28" s="11">
        <v>11012</v>
      </c>
      <c r="G28" s="17">
        <v>10825</v>
      </c>
    </row>
    <row r="29" spans="1:10" x14ac:dyDescent="0.25">
      <c r="A29" s="9" t="s">
        <v>31</v>
      </c>
      <c r="B29" s="10" t="s">
        <v>34</v>
      </c>
      <c r="C29" s="11" t="s">
        <v>34</v>
      </c>
      <c r="D29" s="10" t="s">
        <v>33</v>
      </c>
      <c r="E29" s="15">
        <v>20658</v>
      </c>
      <c r="F29" s="10" t="s">
        <v>34</v>
      </c>
      <c r="G29" s="14" t="s">
        <v>33</v>
      </c>
    </row>
    <row r="30" spans="1:10" x14ac:dyDescent="0.25">
      <c r="A30" s="9" t="s">
        <v>32</v>
      </c>
      <c r="B30" s="10">
        <v>8969</v>
      </c>
      <c r="C30" s="11">
        <v>8738</v>
      </c>
      <c r="D30" s="10">
        <v>18680</v>
      </c>
      <c r="E30" s="15">
        <v>38486</v>
      </c>
      <c r="F30" s="10">
        <v>8400</v>
      </c>
      <c r="G30" s="14">
        <v>7319</v>
      </c>
    </row>
    <row r="31" spans="1:10" ht="15.75" thickBot="1" x14ac:dyDescent="0.3">
      <c r="A31" s="12" t="s">
        <v>136</v>
      </c>
      <c r="B31" s="13">
        <f>AVERAGE(B30,B26:B28,B22:B24,B32)</f>
        <v>428634.5</v>
      </c>
      <c r="C31" s="13">
        <f>AVERAGE(C30,C28,C27,C26,C24,C23,C22,C32)</f>
        <v>428496.75</v>
      </c>
      <c r="D31" s="13">
        <f>AVERAGE(D30,D25:D28,D21:D23)</f>
        <v>83994.571428571435</v>
      </c>
      <c r="E31" s="13">
        <f>AVERAGE(E30,E26:E28,E24,E21,E32)</f>
        <v>374057.28571428574</v>
      </c>
      <c r="F31" s="13">
        <f>AVEDEV(F30,F22:F24,F32)</f>
        <v>786734.96</v>
      </c>
      <c r="G31" s="13">
        <f>AVERAGE(G30,G25:G28,G21:G23)</f>
        <v>148378.375</v>
      </c>
    </row>
    <row r="32" spans="1:10" x14ac:dyDescent="0.25">
      <c r="B32" s="3">
        <v>2400000</v>
      </c>
      <c r="C32" s="3">
        <v>2400000</v>
      </c>
      <c r="E32">
        <v>2400000</v>
      </c>
      <c r="F32">
        <v>2400000</v>
      </c>
    </row>
    <row r="33" spans="1:10" x14ac:dyDescent="0.25">
      <c r="A33" t="s">
        <v>35</v>
      </c>
    </row>
    <row r="34" spans="1:10" x14ac:dyDescent="0.25">
      <c r="A34" t="s">
        <v>36</v>
      </c>
    </row>
    <row r="35" spans="1:10" x14ac:dyDescent="0.25">
      <c r="A35" t="s">
        <v>37</v>
      </c>
    </row>
    <row r="36" spans="1:10" x14ac:dyDescent="0.25">
      <c r="A36" t="s">
        <v>38</v>
      </c>
    </row>
    <row r="38" spans="1:10" ht="15.75" thickBot="1" x14ac:dyDescent="0.3">
      <c r="J38" s="112"/>
    </row>
    <row r="39" spans="1:10" x14ac:dyDescent="0.25">
      <c r="A39" s="4" t="s">
        <v>1</v>
      </c>
      <c r="B39" s="5" t="s">
        <v>18</v>
      </c>
      <c r="C39" s="5" t="s">
        <v>19</v>
      </c>
      <c r="D39" s="6" t="s">
        <v>3</v>
      </c>
      <c r="E39" s="7" t="s">
        <v>20</v>
      </c>
      <c r="F39" s="5" t="s">
        <v>21</v>
      </c>
      <c r="G39" s="8" t="s">
        <v>22</v>
      </c>
    </row>
    <row r="40" spans="1:10" x14ac:dyDescent="0.25">
      <c r="A40" s="9" t="s">
        <v>137</v>
      </c>
      <c r="B40" s="10" t="s">
        <v>249</v>
      </c>
      <c r="C40" s="10" t="str">
        <f>B40</f>
        <v>TO  (7.2 %)</v>
      </c>
      <c r="D40" t="s">
        <v>253</v>
      </c>
      <c r="E40" s="10" t="s">
        <v>261</v>
      </c>
      <c r="F40" s="10" t="s">
        <v>249</v>
      </c>
      <c r="G40" t="s">
        <v>269</v>
      </c>
    </row>
    <row r="41" spans="1:10" x14ac:dyDescent="0.25">
      <c r="A41" s="9" t="s">
        <v>138</v>
      </c>
      <c r="B41" s="10" t="s">
        <v>256</v>
      </c>
      <c r="C41" s="10" t="str">
        <f t="shared" ref="C41:C45" si="1">B41</f>
        <v>35 (0 %)</v>
      </c>
      <c r="D41" t="s">
        <v>254</v>
      </c>
      <c r="E41" s="10" t="s">
        <v>251</v>
      </c>
      <c r="F41" s="10" t="s">
        <v>264</v>
      </c>
      <c r="G41" t="s">
        <v>270</v>
      </c>
    </row>
    <row r="42" spans="1:10" x14ac:dyDescent="0.25">
      <c r="A42" s="9" t="s">
        <v>139</v>
      </c>
      <c r="B42" s="10" t="s">
        <v>257</v>
      </c>
      <c r="C42" s="10" t="str">
        <f t="shared" si="1"/>
        <v>27 (0 %)</v>
      </c>
      <c r="D42">
        <v>4877696</v>
      </c>
      <c r="E42" s="10" t="s">
        <v>251</v>
      </c>
      <c r="F42" s="10" t="s">
        <v>265</v>
      </c>
      <c r="G42">
        <v>4877991</v>
      </c>
    </row>
    <row r="43" spans="1:10" x14ac:dyDescent="0.25">
      <c r="A43" s="9" t="s">
        <v>140</v>
      </c>
      <c r="B43" s="10" t="s">
        <v>250</v>
      </c>
      <c r="C43" s="10" t="str">
        <f t="shared" si="1"/>
        <v>TO (0.08 %)</v>
      </c>
      <c r="D43" t="s">
        <v>255</v>
      </c>
      <c r="E43" s="10" t="s">
        <v>262</v>
      </c>
      <c r="F43" s="10" t="s">
        <v>266</v>
      </c>
      <c r="G43" t="s">
        <v>271</v>
      </c>
    </row>
    <row r="44" spans="1:10" x14ac:dyDescent="0.25">
      <c r="A44" s="9" t="s">
        <v>141</v>
      </c>
      <c r="B44" s="10" t="s">
        <v>258</v>
      </c>
      <c r="C44" s="10" t="str">
        <f t="shared" si="1"/>
        <v>340 (0 %)</v>
      </c>
      <c r="D44" t="s">
        <v>259</v>
      </c>
      <c r="E44" s="10" t="s">
        <v>251</v>
      </c>
      <c r="F44" s="10" t="s">
        <v>267</v>
      </c>
      <c r="G44" s="10" t="s">
        <v>259</v>
      </c>
    </row>
    <row r="45" spans="1:10" x14ac:dyDescent="0.25">
      <c r="A45" s="9" t="s">
        <v>142</v>
      </c>
      <c r="B45" s="10" t="s">
        <v>251</v>
      </c>
      <c r="C45" s="10" t="str">
        <f t="shared" si="1"/>
        <v>TO (0 %)</v>
      </c>
      <c r="D45" t="s">
        <v>259</v>
      </c>
      <c r="E45" s="10" t="s">
        <v>251</v>
      </c>
      <c r="F45" s="10" t="s">
        <v>268</v>
      </c>
      <c r="G45" s="10" t="s">
        <v>259</v>
      </c>
    </row>
    <row r="46" spans="1:10" x14ac:dyDescent="0.25">
      <c r="A46" s="9" t="s">
        <v>143</v>
      </c>
      <c r="B46" s="10">
        <v>122633</v>
      </c>
      <c r="C46" s="10">
        <v>122500</v>
      </c>
      <c r="D46">
        <v>114456</v>
      </c>
      <c r="E46" s="10">
        <v>105447</v>
      </c>
      <c r="F46" s="10">
        <v>119449</v>
      </c>
      <c r="G46" s="14">
        <v>114400</v>
      </c>
    </row>
    <row r="47" spans="1:10" x14ac:dyDescent="0.25">
      <c r="A47" s="9" t="s">
        <v>144</v>
      </c>
      <c r="B47" s="11" t="s">
        <v>252</v>
      </c>
      <c r="C47" s="11" t="str">
        <f>B47</f>
        <v>TO (0.01 %)</v>
      </c>
      <c r="D47" t="s">
        <v>260</v>
      </c>
      <c r="E47" s="11" t="s">
        <v>263</v>
      </c>
      <c r="F47" s="11" t="s">
        <v>252</v>
      </c>
      <c r="G47" s="11" t="s">
        <v>263</v>
      </c>
      <c r="J47">
        <v>230864</v>
      </c>
    </row>
    <row r="48" spans="1:10" ht="15.75" thickBot="1" x14ac:dyDescent="0.3">
      <c r="A48" s="12"/>
      <c r="B48" s="13"/>
      <c r="C48" s="13"/>
      <c r="D48" s="13"/>
      <c r="E48" s="13"/>
      <c r="F48" s="13"/>
      <c r="G48" s="13"/>
      <c r="J48">
        <v>4859</v>
      </c>
    </row>
    <row r="49" spans="1:20" ht="15.75" thickBot="1" x14ac:dyDescent="0.3">
      <c r="A49" s="18" t="s">
        <v>48</v>
      </c>
      <c r="J49">
        <v>588489</v>
      </c>
      <c r="L49" s="176"/>
      <c r="M49" s="177"/>
      <c r="N49" s="177"/>
      <c r="O49" s="177"/>
      <c r="P49" s="177"/>
      <c r="Q49" s="177"/>
      <c r="R49" s="177"/>
      <c r="S49" s="177"/>
      <c r="T49" s="178"/>
    </row>
    <row r="50" spans="1:20" ht="18" thickBot="1" x14ac:dyDescent="0.3">
      <c r="J50">
        <v>1599571</v>
      </c>
      <c r="L50" s="163"/>
      <c r="M50" s="158"/>
      <c r="N50" s="158"/>
      <c r="O50" s="158"/>
      <c r="P50" s="158"/>
      <c r="Q50" s="158"/>
      <c r="R50" s="158"/>
      <c r="S50" s="158"/>
      <c r="T50" s="164"/>
    </row>
    <row r="51" spans="1:20" ht="18" thickBot="1" x14ac:dyDescent="0.3">
      <c r="C51" t="s">
        <v>192</v>
      </c>
      <c r="J51">
        <f>SUM(J47:J50)</f>
        <v>2423783</v>
      </c>
      <c r="L51" s="165"/>
      <c r="M51" s="159"/>
      <c r="N51" s="159"/>
      <c r="O51" s="159"/>
      <c r="P51" s="159"/>
      <c r="Q51" s="159"/>
      <c r="R51" s="159"/>
      <c r="S51" s="159"/>
      <c r="T51" s="166"/>
    </row>
    <row r="52" spans="1:20" ht="18" thickBot="1" x14ac:dyDescent="0.3">
      <c r="A52" s="4" t="s">
        <v>1</v>
      </c>
      <c r="B52" s="5" t="s">
        <v>18</v>
      </c>
      <c r="C52" s="5" t="s">
        <v>19</v>
      </c>
      <c r="D52" s="6" t="s">
        <v>3</v>
      </c>
      <c r="E52" s="7" t="s">
        <v>20</v>
      </c>
      <c r="F52" s="5" t="s">
        <v>21</v>
      </c>
      <c r="G52" s="8" t="s">
        <v>22</v>
      </c>
      <c r="L52" s="163"/>
      <c r="M52" s="158"/>
      <c r="N52" s="158"/>
      <c r="O52" s="158"/>
      <c r="P52" s="158"/>
      <c r="Q52" s="158"/>
      <c r="R52" s="158"/>
      <c r="S52" s="158"/>
      <c r="T52" s="164"/>
    </row>
    <row r="53" spans="1:20" ht="18" thickBot="1" x14ac:dyDescent="0.3">
      <c r="A53" s="9" t="s">
        <v>39</v>
      </c>
      <c r="B53" s="10" t="s">
        <v>191</v>
      </c>
      <c r="C53" s="10" t="s">
        <v>191</v>
      </c>
      <c r="D53" s="14" t="s">
        <v>200</v>
      </c>
      <c r="E53" s="10" t="s">
        <v>207</v>
      </c>
      <c r="F53" s="10" t="s">
        <v>191</v>
      </c>
      <c r="G53" s="14" t="s">
        <v>200</v>
      </c>
      <c r="L53" s="165"/>
      <c r="M53" s="159"/>
      <c r="N53" s="159"/>
      <c r="O53" s="159"/>
      <c r="P53" s="159"/>
      <c r="Q53" s="159"/>
      <c r="R53" s="159"/>
      <c r="S53" s="159"/>
      <c r="T53" s="166"/>
    </row>
    <row r="54" spans="1:20" ht="18" thickBot="1" x14ac:dyDescent="0.3">
      <c r="A54" s="9" t="s">
        <v>40</v>
      </c>
      <c r="B54" s="10" t="s">
        <v>190</v>
      </c>
      <c r="C54" s="10" t="s">
        <v>190</v>
      </c>
      <c r="D54" s="14" t="s">
        <v>201</v>
      </c>
      <c r="E54" s="10" t="s">
        <v>208</v>
      </c>
      <c r="F54" s="10" t="s">
        <v>190</v>
      </c>
      <c r="G54" s="14" t="s">
        <v>201</v>
      </c>
      <c r="L54" s="163"/>
      <c r="M54" s="158"/>
      <c r="N54" s="158"/>
      <c r="O54" s="158"/>
      <c r="P54" s="158"/>
      <c r="Q54" s="158"/>
      <c r="R54" s="158"/>
      <c r="S54" s="158"/>
      <c r="T54" s="164"/>
    </row>
    <row r="55" spans="1:20" ht="18" thickBot="1" x14ac:dyDescent="0.3">
      <c r="A55" s="9" t="s">
        <v>41</v>
      </c>
      <c r="B55" s="10" t="s">
        <v>190</v>
      </c>
      <c r="C55" s="10" t="s">
        <v>190</v>
      </c>
      <c r="D55" s="14" t="s">
        <v>195</v>
      </c>
      <c r="E55" s="10" t="s">
        <v>209</v>
      </c>
      <c r="F55" s="10" t="s">
        <v>190</v>
      </c>
      <c r="G55" s="14" t="s">
        <v>202</v>
      </c>
      <c r="L55" s="165"/>
      <c r="M55" s="159"/>
      <c r="N55" s="159"/>
      <c r="O55" s="159"/>
      <c r="P55" s="159"/>
      <c r="Q55" s="159"/>
      <c r="R55" s="159"/>
      <c r="S55" s="159"/>
      <c r="T55" s="166"/>
    </row>
    <row r="56" spans="1:20" ht="18" thickBot="1" x14ac:dyDescent="0.3">
      <c r="A56" s="9" t="s">
        <v>42</v>
      </c>
      <c r="B56" s="10" t="s">
        <v>188</v>
      </c>
      <c r="C56" s="10" t="s">
        <v>188</v>
      </c>
      <c r="D56" s="14" t="s">
        <v>196</v>
      </c>
      <c r="E56" s="10" t="s">
        <v>210</v>
      </c>
      <c r="F56" s="10" t="s">
        <v>193</v>
      </c>
      <c r="G56" s="14" t="s">
        <v>203</v>
      </c>
      <c r="L56" s="163"/>
      <c r="M56" s="158"/>
      <c r="N56" s="158"/>
      <c r="O56" s="158"/>
      <c r="P56" s="158"/>
      <c r="Q56" s="158"/>
      <c r="R56" s="158"/>
      <c r="S56" s="158"/>
      <c r="T56" s="164"/>
    </row>
    <row r="57" spans="1:20" ht="18" thickBot="1" x14ac:dyDescent="0.3">
      <c r="A57" s="9" t="s">
        <v>43</v>
      </c>
      <c r="B57" s="10" t="s">
        <v>190</v>
      </c>
      <c r="C57" s="10" t="s">
        <v>190</v>
      </c>
      <c r="D57" s="14" t="s">
        <v>197</v>
      </c>
      <c r="E57" s="10" t="s">
        <v>211</v>
      </c>
      <c r="F57" s="10" t="s">
        <v>190</v>
      </c>
      <c r="G57" s="14" t="s">
        <v>204</v>
      </c>
      <c r="L57" s="165"/>
      <c r="M57" s="159"/>
      <c r="N57" s="159"/>
      <c r="O57" s="159"/>
      <c r="P57" s="159"/>
      <c r="Q57" s="159"/>
      <c r="R57" s="159"/>
      <c r="S57" s="159"/>
      <c r="T57" s="166"/>
    </row>
    <row r="58" spans="1:20" ht="18" thickBot="1" x14ac:dyDescent="0.3">
      <c r="A58" s="9" t="s">
        <v>44</v>
      </c>
      <c r="B58" s="10" t="s">
        <v>199</v>
      </c>
      <c r="C58" s="10" t="s">
        <v>199</v>
      </c>
      <c r="D58" s="17" t="s">
        <v>198</v>
      </c>
      <c r="E58" s="10" t="s">
        <v>213</v>
      </c>
      <c r="F58" s="10" t="s">
        <v>194</v>
      </c>
      <c r="G58" s="17" t="s">
        <v>206</v>
      </c>
      <c r="L58" s="163"/>
      <c r="M58" s="158"/>
      <c r="N58" s="158"/>
      <c r="O58" s="158"/>
      <c r="P58" s="158"/>
      <c r="Q58" s="158"/>
      <c r="R58" s="158"/>
      <c r="S58" s="158"/>
      <c r="T58" s="164"/>
    </row>
    <row r="59" spans="1:20" ht="18" thickBot="1" x14ac:dyDescent="0.3">
      <c r="A59" s="9" t="s">
        <v>45</v>
      </c>
      <c r="B59" s="10">
        <v>122633</v>
      </c>
      <c r="C59" s="10">
        <v>122500</v>
      </c>
      <c r="D59">
        <v>114456</v>
      </c>
      <c r="E59" s="10">
        <v>105447</v>
      </c>
      <c r="F59" s="10">
        <v>119449</v>
      </c>
      <c r="G59" s="14">
        <v>114400</v>
      </c>
      <c r="L59" s="163"/>
      <c r="M59" s="158"/>
      <c r="N59" s="158"/>
      <c r="O59" s="158"/>
      <c r="P59" s="158"/>
      <c r="Q59" s="158"/>
      <c r="R59" s="158"/>
      <c r="S59" s="158"/>
      <c r="T59" s="164"/>
    </row>
    <row r="60" spans="1:20" ht="27" customHeight="1" thickBot="1" x14ac:dyDescent="0.3">
      <c r="A60" s="9" t="s">
        <v>46</v>
      </c>
      <c r="B60" s="11" t="s">
        <v>189</v>
      </c>
      <c r="C60" s="11" t="s">
        <v>189</v>
      </c>
      <c r="D60" t="s">
        <v>205</v>
      </c>
      <c r="E60" s="11" t="s">
        <v>212</v>
      </c>
      <c r="F60" s="11" t="s">
        <v>189</v>
      </c>
      <c r="G60" t="s">
        <v>205</v>
      </c>
      <c r="L60" s="163"/>
      <c r="M60" s="158"/>
      <c r="N60" s="158"/>
      <c r="O60" s="158"/>
      <c r="P60" s="158"/>
      <c r="Q60" s="158"/>
      <c r="R60" s="158"/>
      <c r="S60" s="158"/>
      <c r="T60" s="164"/>
    </row>
    <row r="61" spans="1:20" ht="18" thickBot="1" x14ac:dyDescent="0.3">
      <c r="A61" s="12"/>
      <c r="B61" s="13"/>
      <c r="C61" s="13"/>
      <c r="D61" s="13"/>
      <c r="E61" s="13"/>
      <c r="F61" s="13"/>
      <c r="G61" s="13"/>
      <c r="L61" s="165"/>
      <c r="M61" s="159"/>
      <c r="N61" s="159"/>
      <c r="O61" s="159"/>
      <c r="P61" s="159"/>
      <c r="Q61" s="159"/>
      <c r="R61" s="159"/>
      <c r="S61" s="159"/>
      <c r="T61" s="166"/>
    </row>
    <row r="62" spans="1:20" ht="18" thickBot="1" x14ac:dyDescent="0.3">
      <c r="L62" s="163"/>
      <c r="M62" s="158"/>
      <c r="N62" s="158"/>
      <c r="O62" s="158"/>
      <c r="P62" s="158"/>
      <c r="Q62" s="158"/>
      <c r="R62" s="158"/>
      <c r="S62" s="158"/>
      <c r="T62" s="164"/>
    </row>
    <row r="63" spans="1:20" ht="18" thickBot="1" x14ac:dyDescent="0.3">
      <c r="L63" s="165"/>
      <c r="M63" s="159"/>
      <c r="N63" s="159"/>
      <c r="O63" s="159"/>
      <c r="P63" s="159"/>
      <c r="Q63" s="159"/>
      <c r="R63" s="159"/>
      <c r="S63" s="159"/>
      <c r="T63" s="166"/>
    </row>
    <row r="64" spans="1:20" ht="30" customHeight="1" thickBot="1" x14ac:dyDescent="0.3">
      <c r="B64" s="189" t="s">
        <v>186</v>
      </c>
      <c r="C64" s="191">
        <v>167267</v>
      </c>
      <c r="D64" s="191">
        <v>350422</v>
      </c>
      <c r="E64" s="191">
        <v>3404</v>
      </c>
      <c r="F64" s="191">
        <v>29879</v>
      </c>
      <c r="G64" s="195">
        <v>50969</v>
      </c>
      <c r="L64" s="163"/>
      <c r="M64" s="158"/>
      <c r="N64" s="158"/>
      <c r="O64" s="158"/>
      <c r="P64" s="158"/>
      <c r="Q64" s="158"/>
      <c r="R64" s="158"/>
      <c r="S64" s="158"/>
      <c r="T64" s="164"/>
    </row>
    <row r="65" spans="1:20" ht="18" thickBot="1" x14ac:dyDescent="0.3">
      <c r="A65" s="192"/>
      <c r="B65" s="18" t="s">
        <v>137</v>
      </c>
      <c r="C65" s="11" t="s">
        <v>220</v>
      </c>
      <c r="D65" s="14" t="s">
        <v>224</v>
      </c>
      <c r="E65" s="11" t="s">
        <v>227</v>
      </c>
      <c r="F65" s="11" t="s">
        <v>220</v>
      </c>
      <c r="G65" s="17" t="s">
        <v>224</v>
      </c>
      <c r="H65" s="192"/>
      <c r="L65" s="165"/>
      <c r="M65" s="159"/>
      <c r="N65" s="159"/>
      <c r="O65" s="159"/>
      <c r="P65" s="159"/>
      <c r="Q65" s="159"/>
      <c r="R65" s="159"/>
      <c r="S65" s="159"/>
      <c r="T65" s="166"/>
    </row>
    <row r="66" spans="1:20" ht="26.25" customHeight="1" thickBot="1" x14ac:dyDescent="0.3">
      <c r="A66" s="192"/>
      <c r="B66" s="18" t="s">
        <v>138</v>
      </c>
      <c r="C66" s="11" t="s">
        <v>229</v>
      </c>
      <c r="D66" s="14" t="s">
        <v>225</v>
      </c>
      <c r="E66" s="11" t="s">
        <v>228</v>
      </c>
      <c r="F66" s="11" t="s">
        <v>229</v>
      </c>
      <c r="G66" s="17" t="s">
        <v>238</v>
      </c>
      <c r="H66" s="192"/>
      <c r="L66" s="163"/>
      <c r="M66" s="158"/>
      <c r="N66" s="158"/>
      <c r="O66" s="158"/>
      <c r="P66" s="158"/>
      <c r="Q66" s="158"/>
      <c r="R66" s="158"/>
      <c r="S66" s="158"/>
      <c r="T66" s="164"/>
    </row>
    <row r="67" spans="1:20" ht="18" thickBot="1" x14ac:dyDescent="0.3">
      <c r="A67" s="192"/>
      <c r="B67" s="18" t="s">
        <v>139</v>
      </c>
      <c r="C67" s="11" t="s">
        <v>229</v>
      </c>
      <c r="D67" s="14">
        <v>2734572</v>
      </c>
      <c r="E67" s="11" t="s">
        <v>230</v>
      </c>
      <c r="F67" s="11" t="s">
        <v>229</v>
      </c>
      <c r="G67" s="14">
        <v>2734572</v>
      </c>
      <c r="H67" s="192"/>
      <c r="L67" s="163"/>
      <c r="M67" s="158"/>
      <c r="N67" s="158"/>
      <c r="O67" s="158"/>
      <c r="P67" s="158"/>
      <c r="Q67" s="158"/>
      <c r="R67" s="158"/>
      <c r="S67" s="158"/>
      <c r="T67" s="164"/>
    </row>
    <row r="68" spans="1:20" ht="18" thickBot="1" x14ac:dyDescent="0.3">
      <c r="A68" s="192"/>
      <c r="B68" s="18" t="s">
        <v>140</v>
      </c>
      <c r="C68" s="11" t="s">
        <v>221</v>
      </c>
      <c r="D68" s="14" t="s">
        <v>235</v>
      </c>
      <c r="E68" s="11" t="s">
        <v>234</v>
      </c>
      <c r="F68" s="11" t="s">
        <v>236</v>
      </c>
      <c r="G68" s="17" t="s">
        <v>239</v>
      </c>
      <c r="L68" s="165"/>
      <c r="M68" s="159"/>
      <c r="N68" s="159"/>
      <c r="O68" s="159"/>
      <c r="P68" s="159"/>
      <c r="Q68" s="159"/>
      <c r="R68" s="159"/>
      <c r="S68" s="159"/>
      <c r="T68" s="166"/>
    </row>
    <row r="69" spans="1:20" ht="18" thickBot="1" x14ac:dyDescent="0.3">
      <c r="A69" s="192"/>
      <c r="B69" s="18" t="s">
        <v>141</v>
      </c>
      <c r="C69" s="11" t="s">
        <v>229</v>
      </c>
      <c r="D69" s="14" t="s">
        <v>247</v>
      </c>
      <c r="E69" s="11" t="s">
        <v>231</v>
      </c>
      <c r="F69" s="11" t="s">
        <v>229</v>
      </c>
      <c r="G69" s="17" t="s">
        <v>245</v>
      </c>
      <c r="L69" s="163"/>
      <c r="M69" s="158"/>
      <c r="N69" s="158"/>
      <c r="O69" s="158"/>
      <c r="P69" s="158"/>
      <c r="Q69" s="158"/>
      <c r="R69" s="158"/>
      <c r="S69" s="158"/>
      <c r="T69" s="164"/>
    </row>
    <row r="70" spans="1:20" ht="18" thickBot="1" x14ac:dyDescent="0.3">
      <c r="A70" s="192"/>
      <c r="B70" s="18" t="s">
        <v>142</v>
      </c>
      <c r="C70" s="11" t="s">
        <v>222</v>
      </c>
      <c r="D70" s="17" t="s">
        <v>248</v>
      </c>
      <c r="E70" s="11" t="s">
        <v>232</v>
      </c>
      <c r="F70" s="11" t="s">
        <v>237</v>
      </c>
      <c r="G70" s="17" t="s">
        <v>246</v>
      </c>
      <c r="L70" s="165"/>
      <c r="M70" s="159"/>
      <c r="N70" s="159"/>
      <c r="O70" s="159"/>
      <c r="P70" s="159"/>
      <c r="Q70" s="159"/>
      <c r="R70" s="159"/>
      <c r="S70" s="159"/>
      <c r="T70" s="166"/>
    </row>
    <row r="71" spans="1:20" ht="18" thickBot="1" x14ac:dyDescent="0.3">
      <c r="B71" s="18" t="s">
        <v>143</v>
      </c>
      <c r="C71" s="91">
        <v>74387</v>
      </c>
      <c r="D71" s="11">
        <v>867628</v>
      </c>
      <c r="E71" s="188">
        <v>267</v>
      </c>
      <c r="F71" s="11">
        <v>23381</v>
      </c>
      <c r="G71" s="17">
        <v>1341384</v>
      </c>
      <c r="L71" s="165"/>
      <c r="M71" s="159"/>
      <c r="N71" s="159"/>
      <c r="O71" s="159"/>
      <c r="P71" s="159"/>
      <c r="Q71" s="159"/>
      <c r="R71" s="159"/>
      <c r="S71" s="159"/>
      <c r="T71" s="166"/>
    </row>
    <row r="72" spans="1:20" ht="18" thickBot="1" x14ac:dyDescent="0.3">
      <c r="B72" s="18" t="s">
        <v>144</v>
      </c>
      <c r="C72" s="11" t="s">
        <v>223</v>
      </c>
      <c r="D72" s="11" t="s">
        <v>226</v>
      </c>
      <c r="E72" s="188" t="s">
        <v>233</v>
      </c>
      <c r="F72" s="11" t="s">
        <v>223</v>
      </c>
      <c r="G72" s="17" t="s">
        <v>226</v>
      </c>
      <c r="L72" s="163"/>
      <c r="M72" s="158"/>
      <c r="N72" s="158"/>
      <c r="O72" s="158"/>
      <c r="P72" s="158"/>
      <c r="Q72" s="158"/>
      <c r="R72" s="158"/>
      <c r="S72" s="158"/>
      <c r="T72" s="164"/>
    </row>
    <row r="73" spans="1:20" ht="18" thickBot="1" x14ac:dyDescent="0.3">
      <c r="B73" s="189" t="s">
        <v>186</v>
      </c>
      <c r="C73" s="191">
        <v>4118345</v>
      </c>
      <c r="D73" s="191">
        <v>6132552</v>
      </c>
      <c r="E73" s="193">
        <v>43515</v>
      </c>
      <c r="F73" s="191">
        <v>3662684</v>
      </c>
      <c r="G73" s="195">
        <v>6605686</v>
      </c>
      <c r="L73" s="163"/>
      <c r="M73" s="158"/>
      <c r="N73" s="158"/>
      <c r="O73" s="158"/>
      <c r="P73" s="158"/>
      <c r="Q73" s="158"/>
      <c r="R73" s="158"/>
      <c r="S73" s="158"/>
      <c r="T73" s="164"/>
    </row>
    <row r="74" spans="1:20" ht="18" thickBot="1" x14ac:dyDescent="0.3">
      <c r="B74" s="196" t="s">
        <v>187</v>
      </c>
      <c r="C74" s="197">
        <v>4343459</v>
      </c>
      <c r="D74" s="197">
        <v>6506123</v>
      </c>
      <c r="E74" s="197">
        <v>48888</v>
      </c>
      <c r="F74" s="197">
        <v>3753336</v>
      </c>
      <c r="G74" s="198">
        <v>6744068</v>
      </c>
      <c r="L74" s="165"/>
      <c r="M74" s="159"/>
      <c r="N74" s="159"/>
      <c r="O74" s="159"/>
      <c r="P74" s="159"/>
      <c r="Q74" s="159"/>
      <c r="R74" s="159"/>
      <c r="S74" s="159"/>
      <c r="T74" s="166"/>
    </row>
    <row r="75" spans="1:20" ht="18" thickBot="1" x14ac:dyDescent="0.3">
      <c r="L75" s="163"/>
      <c r="M75" s="158"/>
      <c r="N75" s="158"/>
      <c r="O75" s="158"/>
      <c r="P75" s="158"/>
      <c r="Q75" s="158"/>
      <c r="R75" s="158"/>
      <c r="S75" s="158"/>
      <c r="T75" s="164"/>
    </row>
    <row r="76" spans="1:20" ht="18" thickBot="1" x14ac:dyDescent="0.3">
      <c r="L76" s="165"/>
      <c r="M76" s="159"/>
      <c r="N76" s="159"/>
      <c r="O76" s="159"/>
      <c r="P76" s="159"/>
      <c r="Q76" s="159"/>
      <c r="R76" s="159"/>
      <c r="S76" s="159"/>
      <c r="T76" s="166"/>
    </row>
    <row r="77" spans="1:20" ht="18" thickBot="1" x14ac:dyDescent="0.3">
      <c r="B77" s="4" t="s">
        <v>1</v>
      </c>
      <c r="C77" s="5" t="s">
        <v>18</v>
      </c>
      <c r="D77" s="5" t="s">
        <v>19</v>
      </c>
      <c r="E77" s="6" t="s">
        <v>3</v>
      </c>
      <c r="F77" s="7" t="s">
        <v>20</v>
      </c>
      <c r="G77" s="5" t="s">
        <v>21</v>
      </c>
      <c r="H77" s="8" t="s">
        <v>22</v>
      </c>
      <c r="L77" s="163"/>
      <c r="M77" s="158"/>
      <c r="N77" s="158"/>
      <c r="O77" s="158"/>
      <c r="P77" s="158"/>
      <c r="Q77" s="158"/>
      <c r="R77" s="158"/>
      <c r="S77" s="158"/>
      <c r="T77" s="164"/>
    </row>
    <row r="78" spans="1:20" ht="18" thickBot="1" x14ac:dyDescent="0.3">
      <c r="B78" s="9" t="s">
        <v>39</v>
      </c>
      <c r="C78" s="10" t="s">
        <v>191</v>
      </c>
      <c r="D78" s="10" t="s">
        <v>191</v>
      </c>
      <c r="E78" s="14" t="s">
        <v>200</v>
      </c>
      <c r="F78" s="10" t="s">
        <v>207</v>
      </c>
      <c r="G78" s="10" t="s">
        <v>191</v>
      </c>
      <c r="H78" s="14" t="s">
        <v>200</v>
      </c>
      <c r="L78" s="165"/>
      <c r="M78" s="159"/>
      <c r="N78" s="159"/>
      <c r="O78" s="159"/>
      <c r="P78" s="159"/>
      <c r="Q78" s="159"/>
      <c r="R78" s="159"/>
      <c r="S78" s="159"/>
      <c r="T78" s="166"/>
    </row>
    <row r="79" spans="1:20" ht="18" thickBot="1" x14ac:dyDescent="0.3">
      <c r="B79" s="9" t="s">
        <v>40</v>
      </c>
      <c r="C79" s="10" t="s">
        <v>190</v>
      </c>
      <c r="D79" s="10" t="s">
        <v>190</v>
      </c>
      <c r="E79" s="14" t="s">
        <v>201</v>
      </c>
      <c r="F79" s="10" t="s">
        <v>208</v>
      </c>
      <c r="G79" s="10" t="s">
        <v>190</v>
      </c>
      <c r="H79" s="14" t="s">
        <v>201</v>
      </c>
      <c r="L79" s="163"/>
      <c r="M79" s="158"/>
      <c r="N79" s="158"/>
      <c r="O79" s="158"/>
      <c r="P79" s="158"/>
      <c r="Q79" s="158"/>
      <c r="R79" s="158"/>
      <c r="S79" s="158"/>
      <c r="T79" s="164"/>
    </row>
    <row r="80" spans="1:20" ht="18" thickBot="1" x14ac:dyDescent="0.3">
      <c r="B80" s="9" t="s">
        <v>41</v>
      </c>
      <c r="C80" s="10" t="s">
        <v>190</v>
      </c>
      <c r="D80" s="10" t="s">
        <v>190</v>
      </c>
      <c r="E80" s="14" t="s">
        <v>195</v>
      </c>
      <c r="F80" s="10" t="s">
        <v>209</v>
      </c>
      <c r="G80" s="10" t="s">
        <v>190</v>
      </c>
      <c r="H80" s="14" t="s">
        <v>202</v>
      </c>
      <c r="L80" s="167"/>
      <c r="M80" s="168"/>
      <c r="N80" s="168"/>
      <c r="O80" s="168"/>
      <c r="P80" s="168"/>
      <c r="Q80" s="168"/>
      <c r="R80" s="168"/>
      <c r="S80" s="168"/>
      <c r="T80" s="169"/>
    </row>
    <row r="81" spans="2:20" ht="17.25" x14ac:dyDescent="0.25">
      <c r="B81" s="9" t="s">
        <v>42</v>
      </c>
      <c r="C81" s="10" t="s">
        <v>188</v>
      </c>
      <c r="D81" s="10" t="s">
        <v>188</v>
      </c>
      <c r="E81" s="14" t="s">
        <v>196</v>
      </c>
      <c r="F81" s="10" t="s">
        <v>210</v>
      </c>
      <c r="G81" s="10" t="s">
        <v>193</v>
      </c>
      <c r="H81" s="14" t="s">
        <v>203</v>
      </c>
      <c r="L81" s="173"/>
      <c r="M81" s="174"/>
      <c r="N81" s="175"/>
      <c r="O81" s="175"/>
      <c r="P81" s="175"/>
      <c r="Q81" s="175"/>
      <c r="R81" s="175"/>
      <c r="S81" s="175"/>
      <c r="T81" s="175"/>
    </row>
    <row r="82" spans="2:20" x14ac:dyDescent="0.25">
      <c r="B82" s="9" t="s">
        <v>43</v>
      </c>
      <c r="C82" s="10" t="s">
        <v>190</v>
      </c>
      <c r="D82" s="10" t="s">
        <v>190</v>
      </c>
      <c r="E82" s="14" t="s">
        <v>197</v>
      </c>
      <c r="F82" s="10" t="s">
        <v>211</v>
      </c>
      <c r="G82" s="10" t="s">
        <v>190</v>
      </c>
      <c r="H82" s="14" t="s">
        <v>204</v>
      </c>
    </row>
    <row r="83" spans="2:20" x14ac:dyDescent="0.25">
      <c r="B83" s="9" t="s">
        <v>44</v>
      </c>
      <c r="C83" s="10" t="s">
        <v>199</v>
      </c>
      <c r="D83" s="10" t="s">
        <v>199</v>
      </c>
      <c r="E83" s="17" t="s">
        <v>198</v>
      </c>
      <c r="F83" s="10" t="s">
        <v>213</v>
      </c>
      <c r="G83" s="10" t="s">
        <v>194</v>
      </c>
      <c r="H83" s="17" t="s">
        <v>206</v>
      </c>
    </row>
    <row r="84" spans="2:20" x14ac:dyDescent="0.25">
      <c r="B84" s="9" t="s">
        <v>45</v>
      </c>
      <c r="C84" s="10">
        <v>122633</v>
      </c>
      <c r="D84" s="10">
        <v>122500</v>
      </c>
      <c r="E84">
        <v>114456</v>
      </c>
      <c r="F84" s="10">
        <v>105447</v>
      </c>
      <c r="G84" s="10">
        <v>119449</v>
      </c>
      <c r="H84" s="14">
        <v>114400</v>
      </c>
    </row>
    <row r="85" spans="2:20" x14ac:dyDescent="0.25">
      <c r="B85" s="9" t="s">
        <v>46</v>
      </c>
      <c r="C85" s="11" t="s">
        <v>189</v>
      </c>
      <c r="D85" s="11" t="s">
        <v>189</v>
      </c>
      <c r="E85" t="s">
        <v>205</v>
      </c>
      <c r="F85" s="11" t="s">
        <v>212</v>
      </c>
      <c r="G85" s="11" t="s">
        <v>189</v>
      </c>
      <c r="H85" t="s">
        <v>205</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T16"/>
  <sheetViews>
    <sheetView topLeftCell="B1" workbookViewId="0">
      <selection activeCell="E7" sqref="E7:T16"/>
    </sheetView>
  </sheetViews>
  <sheetFormatPr defaultRowHeight="15" x14ac:dyDescent="0.25"/>
  <cols>
    <col min="5" max="5" width="9.85546875" customWidth="1"/>
    <col min="6" max="6" width="9.140625" customWidth="1"/>
    <col min="7" max="7" width="7" customWidth="1"/>
    <col min="8" max="8" width="7.28515625" customWidth="1"/>
    <col min="9" max="9" width="9.7109375" customWidth="1"/>
    <col min="10" max="10" width="9.42578125" customWidth="1"/>
    <col min="11" max="11" width="9.5703125" bestFit="1" customWidth="1"/>
    <col min="17" max="17" width="7.140625" customWidth="1"/>
    <col min="20" max="20" width="7.42578125" customWidth="1"/>
  </cols>
  <sheetData>
    <row r="3" spans="5:20" x14ac:dyDescent="0.25">
      <c r="F3" t="s">
        <v>273</v>
      </c>
    </row>
    <row r="4" spans="5:20" ht="15.75" thickBot="1" x14ac:dyDescent="0.3"/>
    <row r="5" spans="5:20" ht="15.75" thickBot="1" x14ac:dyDescent="0.3">
      <c r="E5" s="110" t="s">
        <v>1</v>
      </c>
      <c r="F5" s="216" t="s">
        <v>0</v>
      </c>
      <c r="G5" s="217"/>
      <c r="H5" s="218"/>
      <c r="I5" s="219" t="s">
        <v>3</v>
      </c>
      <c r="J5" s="220"/>
      <c r="K5" s="221"/>
      <c r="L5" s="222" t="s">
        <v>20</v>
      </c>
      <c r="M5" s="223"/>
      <c r="N5" s="224"/>
      <c r="O5" s="216" t="s">
        <v>21</v>
      </c>
      <c r="P5" s="217"/>
      <c r="Q5" s="218"/>
      <c r="R5" s="225" t="s">
        <v>22</v>
      </c>
      <c r="S5" s="225"/>
      <c r="T5" s="226"/>
    </row>
    <row r="6" spans="5:20" ht="15.75" thickBot="1" x14ac:dyDescent="0.3">
      <c r="E6" s="137"/>
      <c r="F6" s="137" t="s">
        <v>76</v>
      </c>
      <c r="G6" s="138" t="s">
        <v>75</v>
      </c>
      <c r="H6" s="139" t="s">
        <v>77</v>
      </c>
      <c r="I6" s="137" t="s">
        <v>76</v>
      </c>
      <c r="J6" s="138" t="s">
        <v>75</v>
      </c>
      <c r="K6" s="139" t="s">
        <v>77</v>
      </c>
      <c r="L6" s="137" t="s">
        <v>76</v>
      </c>
      <c r="M6" s="138" t="s">
        <v>75</v>
      </c>
      <c r="N6" s="139" t="s">
        <v>77</v>
      </c>
      <c r="O6" s="137" t="s">
        <v>76</v>
      </c>
      <c r="P6" s="138" t="s">
        <v>75</v>
      </c>
      <c r="Q6" s="139" t="s">
        <v>77</v>
      </c>
      <c r="R6" s="138" t="s">
        <v>76</v>
      </c>
      <c r="S6" s="138" t="s">
        <v>75</v>
      </c>
      <c r="T6" s="139" t="s">
        <v>77</v>
      </c>
    </row>
    <row r="7" spans="5:20" x14ac:dyDescent="0.25">
      <c r="E7" s="9" t="s">
        <v>27</v>
      </c>
      <c r="F7" s="9" t="s">
        <v>34</v>
      </c>
      <c r="G7" s="91" t="s">
        <v>34</v>
      </c>
      <c r="H7" s="95" t="s">
        <v>34</v>
      </c>
      <c r="I7" s="9">
        <v>1</v>
      </c>
      <c r="J7" s="91">
        <v>2.1999999999999999E-2</v>
      </c>
      <c r="K7" s="200">
        <f>2*J7*I7/(I7+J7)</f>
        <v>4.3052837573385516E-2</v>
      </c>
      <c r="L7" s="9" t="s">
        <v>34</v>
      </c>
      <c r="M7" s="91" t="s">
        <v>34</v>
      </c>
      <c r="N7" s="95" t="s">
        <v>34</v>
      </c>
      <c r="O7" s="9" t="s">
        <v>34</v>
      </c>
      <c r="P7" s="99" t="s">
        <v>34</v>
      </c>
      <c r="Q7" s="95" t="s">
        <v>34</v>
      </c>
      <c r="R7" s="91">
        <v>1</v>
      </c>
      <c r="S7" s="91">
        <v>1</v>
      </c>
      <c r="T7" s="95">
        <f>2*S7*R7/(R7+S7)</f>
        <v>1</v>
      </c>
    </row>
    <row r="8" spans="5:20" x14ac:dyDescent="0.25">
      <c r="E8" s="199" t="s">
        <v>29</v>
      </c>
      <c r="F8" s="44">
        <v>0.25</v>
      </c>
      <c r="G8" s="66">
        <v>0.19</v>
      </c>
      <c r="H8" s="200">
        <f t="shared" ref="H8:H10" si="0">2*F8*G8/(F8+G8)</f>
        <v>0.21590909090909091</v>
      </c>
      <c r="I8" s="9">
        <v>1</v>
      </c>
      <c r="J8" s="91">
        <v>1</v>
      </c>
      <c r="K8" s="204">
        <f t="shared" ref="K8:K11" si="1">2*J8*I8/(I8+J8)</f>
        <v>1</v>
      </c>
      <c r="L8" s="9">
        <v>1</v>
      </c>
      <c r="M8" s="99">
        <v>1</v>
      </c>
      <c r="N8" s="95">
        <f>2*L8*M8/(L8+M8)</f>
        <v>1</v>
      </c>
      <c r="O8" s="44">
        <v>0.25</v>
      </c>
      <c r="P8" s="66">
        <v>0.19</v>
      </c>
      <c r="Q8" s="106">
        <f>2*O8*P8/(O8+P8)</f>
        <v>0.21590909090909091</v>
      </c>
      <c r="R8" s="91">
        <v>1</v>
      </c>
      <c r="S8" s="91">
        <v>1</v>
      </c>
      <c r="T8" s="95">
        <f t="shared" ref="T8:T13" si="2">2*S8*R8/(R8+S8)</f>
        <v>1</v>
      </c>
    </row>
    <row r="9" spans="5:20" x14ac:dyDescent="0.25">
      <c r="E9" s="9" t="s">
        <v>84</v>
      </c>
      <c r="F9" s="9">
        <v>1</v>
      </c>
      <c r="G9" s="201">
        <f>1054/1620</f>
        <v>0.65061728395061724</v>
      </c>
      <c r="H9" s="200">
        <f t="shared" si="0"/>
        <v>0.78833208676140609</v>
      </c>
      <c r="I9" s="9">
        <v>1</v>
      </c>
      <c r="J9" s="91">
        <v>1</v>
      </c>
      <c r="K9" s="204">
        <f t="shared" si="1"/>
        <v>1</v>
      </c>
      <c r="L9" s="9">
        <v>1</v>
      </c>
      <c r="M9" s="99">
        <v>1</v>
      </c>
      <c r="N9" s="95">
        <f t="shared" ref="N9:N11" si="3">2*L9*M9/(L9+M9)</f>
        <v>1</v>
      </c>
      <c r="O9" s="9">
        <v>1</v>
      </c>
      <c r="P9" s="201">
        <f>1054/1620</f>
        <v>0.65061728395061724</v>
      </c>
      <c r="Q9" s="106">
        <f t="shared" ref="Q9:Q14" si="4">2*O9*P9/(O9+P9)</f>
        <v>0.78833208676140609</v>
      </c>
      <c r="R9" s="91">
        <v>1</v>
      </c>
      <c r="S9" s="91">
        <v>1</v>
      </c>
      <c r="T9" s="95">
        <f t="shared" si="2"/>
        <v>1</v>
      </c>
    </row>
    <row r="10" spans="5:20" x14ac:dyDescent="0.25">
      <c r="E10" s="199" t="s">
        <v>85</v>
      </c>
      <c r="F10" s="9">
        <v>1</v>
      </c>
      <c r="G10" s="201">
        <f>145/148</f>
        <v>0.97972972972972971</v>
      </c>
      <c r="H10" s="200">
        <f t="shared" si="0"/>
        <v>0.98976109215017061</v>
      </c>
      <c r="I10" s="9">
        <v>1</v>
      </c>
      <c r="J10" s="99">
        <v>1</v>
      </c>
      <c r="K10" s="204">
        <f t="shared" si="1"/>
        <v>1</v>
      </c>
      <c r="L10" s="9">
        <v>1</v>
      </c>
      <c r="M10" s="99">
        <v>1</v>
      </c>
      <c r="N10" s="95">
        <f t="shared" si="3"/>
        <v>1</v>
      </c>
      <c r="O10" s="9">
        <v>1</v>
      </c>
      <c r="P10" s="201">
        <f>145/148</f>
        <v>0.97972972972972971</v>
      </c>
      <c r="Q10" s="106">
        <f t="shared" si="4"/>
        <v>0.98976109215017061</v>
      </c>
      <c r="R10" s="91">
        <v>1</v>
      </c>
      <c r="S10" s="99">
        <v>1</v>
      </c>
      <c r="T10" s="95">
        <f t="shared" si="2"/>
        <v>1</v>
      </c>
    </row>
    <row r="11" spans="5:20" x14ac:dyDescent="0.25">
      <c r="E11" s="9" t="s">
        <v>137</v>
      </c>
      <c r="F11" s="9" t="s">
        <v>34</v>
      </c>
      <c r="G11" s="91" t="s">
        <v>34</v>
      </c>
      <c r="H11" s="200" t="s">
        <v>34</v>
      </c>
      <c r="I11" s="9">
        <v>1</v>
      </c>
      <c r="J11" s="99">
        <v>0.03</v>
      </c>
      <c r="K11" s="200">
        <f t="shared" si="1"/>
        <v>5.8252427184466014E-2</v>
      </c>
      <c r="L11" s="9">
        <v>1</v>
      </c>
      <c r="M11" s="99">
        <v>0.16</v>
      </c>
      <c r="N11" s="200">
        <f t="shared" si="3"/>
        <v>0.27586206896551729</v>
      </c>
      <c r="O11" s="9" t="s">
        <v>34</v>
      </c>
      <c r="P11" s="91" t="s">
        <v>34</v>
      </c>
      <c r="Q11" s="106" t="s">
        <v>34</v>
      </c>
      <c r="R11" s="99">
        <v>1</v>
      </c>
      <c r="S11" s="99">
        <v>0.03</v>
      </c>
      <c r="T11" s="200">
        <f t="shared" si="2"/>
        <v>5.8252427184466014E-2</v>
      </c>
    </row>
    <row r="12" spans="5:20" x14ac:dyDescent="0.25">
      <c r="E12" s="9" t="s">
        <v>138</v>
      </c>
      <c r="F12" s="9">
        <v>0</v>
      </c>
      <c r="G12" s="91">
        <v>0</v>
      </c>
      <c r="H12" s="204">
        <v>0</v>
      </c>
      <c r="I12" s="9" t="s">
        <v>34</v>
      </c>
      <c r="J12" s="91" t="s">
        <v>34</v>
      </c>
      <c r="K12" s="200" t="s">
        <v>34</v>
      </c>
      <c r="L12" s="9" t="s">
        <v>34</v>
      </c>
      <c r="M12" s="99" t="s">
        <v>34</v>
      </c>
      <c r="N12" s="95" t="s">
        <v>34</v>
      </c>
      <c r="O12" s="9">
        <v>0</v>
      </c>
      <c r="P12" s="91">
        <v>0</v>
      </c>
      <c r="Q12" s="205">
        <v>0</v>
      </c>
      <c r="R12" s="99">
        <v>1</v>
      </c>
      <c r="S12" s="99">
        <v>0.02</v>
      </c>
      <c r="T12" s="200">
        <f t="shared" si="2"/>
        <v>3.9215686274509803E-2</v>
      </c>
    </row>
    <row r="13" spans="5:20" x14ac:dyDescent="0.25">
      <c r="E13" s="9" t="s">
        <v>139</v>
      </c>
      <c r="F13" s="9">
        <v>0</v>
      </c>
      <c r="G13" s="91">
        <v>0</v>
      </c>
      <c r="H13" s="204">
        <v>0</v>
      </c>
      <c r="I13" s="9" t="s">
        <v>34</v>
      </c>
      <c r="J13" s="91" t="s">
        <v>34</v>
      </c>
      <c r="K13" s="200" t="s">
        <v>34</v>
      </c>
      <c r="L13" s="9" t="s">
        <v>34</v>
      </c>
      <c r="M13" s="99" t="s">
        <v>34</v>
      </c>
      <c r="N13" s="95" t="s">
        <v>34</v>
      </c>
      <c r="O13" s="9">
        <v>0</v>
      </c>
      <c r="P13" s="91">
        <v>0</v>
      </c>
      <c r="Q13" s="205">
        <v>0</v>
      </c>
      <c r="R13" s="99">
        <v>1</v>
      </c>
      <c r="S13" s="99">
        <v>1</v>
      </c>
      <c r="T13" s="95">
        <f t="shared" si="2"/>
        <v>1</v>
      </c>
    </row>
    <row r="14" spans="5:20" x14ac:dyDescent="0.25">
      <c r="E14" s="9" t="s">
        <v>140</v>
      </c>
      <c r="F14" s="9" t="s">
        <v>34</v>
      </c>
      <c r="G14" s="91" t="s">
        <v>34</v>
      </c>
      <c r="H14" s="200" t="s">
        <v>34</v>
      </c>
      <c r="I14" s="9">
        <v>0</v>
      </c>
      <c r="J14" s="99">
        <v>0</v>
      </c>
      <c r="K14" s="204">
        <v>0</v>
      </c>
      <c r="L14" s="9">
        <v>0</v>
      </c>
      <c r="M14" s="99">
        <v>0</v>
      </c>
      <c r="N14" s="95">
        <v>0</v>
      </c>
      <c r="O14" s="9">
        <v>1</v>
      </c>
      <c r="P14" s="99">
        <v>0.48</v>
      </c>
      <c r="Q14" s="106">
        <f t="shared" si="4"/>
        <v>0.64864864864864868</v>
      </c>
      <c r="R14" s="99">
        <v>0</v>
      </c>
      <c r="S14" s="99">
        <v>0</v>
      </c>
      <c r="T14" s="95">
        <v>0</v>
      </c>
    </row>
    <row r="15" spans="5:20" x14ac:dyDescent="0.25">
      <c r="E15" s="9" t="s">
        <v>141</v>
      </c>
      <c r="F15" s="9">
        <v>0</v>
      </c>
      <c r="G15" s="91">
        <v>0</v>
      </c>
      <c r="H15" s="204">
        <v>0</v>
      </c>
      <c r="I15" s="9" t="s">
        <v>33</v>
      </c>
      <c r="J15" s="91" t="s">
        <v>33</v>
      </c>
      <c r="K15" s="200" t="s">
        <v>33</v>
      </c>
      <c r="L15" s="9" t="s">
        <v>34</v>
      </c>
      <c r="M15" s="99" t="s">
        <v>34</v>
      </c>
      <c r="N15" s="95" t="s">
        <v>34</v>
      </c>
      <c r="O15" s="9">
        <v>0</v>
      </c>
      <c r="P15" s="99">
        <v>0</v>
      </c>
      <c r="Q15" s="205">
        <v>0</v>
      </c>
      <c r="R15" s="91" t="s">
        <v>33</v>
      </c>
      <c r="S15" s="91" t="s">
        <v>33</v>
      </c>
      <c r="T15" s="95" t="s">
        <v>33</v>
      </c>
    </row>
    <row r="16" spans="5:20" ht="15.75" thickBot="1" x14ac:dyDescent="0.3">
      <c r="E16" s="109" t="s">
        <v>142</v>
      </c>
      <c r="F16" s="109" t="s">
        <v>34</v>
      </c>
      <c r="G16" s="96" t="s">
        <v>34</v>
      </c>
      <c r="H16" s="202" t="s">
        <v>34</v>
      </c>
      <c r="I16" s="109" t="s">
        <v>33</v>
      </c>
      <c r="J16" s="203" t="s">
        <v>33</v>
      </c>
      <c r="K16" s="202" t="s">
        <v>33</v>
      </c>
      <c r="L16" s="109" t="s">
        <v>34</v>
      </c>
      <c r="M16" s="203" t="s">
        <v>34</v>
      </c>
      <c r="N16" s="111" t="s">
        <v>34</v>
      </c>
      <c r="O16" s="109">
        <v>0</v>
      </c>
      <c r="P16" s="203">
        <v>0</v>
      </c>
      <c r="Q16" s="206">
        <v>0</v>
      </c>
      <c r="R16" s="96" t="s">
        <v>33</v>
      </c>
      <c r="S16" s="96" t="s">
        <v>33</v>
      </c>
      <c r="T16" s="111" t="s">
        <v>33</v>
      </c>
    </row>
  </sheetData>
  <mergeCells count="5">
    <mergeCell ref="F5:H5"/>
    <mergeCell ref="I5:K5"/>
    <mergeCell ref="L5:N5"/>
    <mergeCell ref="O5:Q5"/>
    <mergeCell ref="R5:T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W43"/>
  <sheetViews>
    <sheetView topLeftCell="B8" workbookViewId="0">
      <selection activeCell="V36" sqref="V36"/>
    </sheetView>
  </sheetViews>
  <sheetFormatPr defaultRowHeight="15" x14ac:dyDescent="0.25"/>
  <cols>
    <col min="5" max="5" width="13.28515625" customWidth="1"/>
    <col min="20" max="20" width="16.28515625" customWidth="1"/>
  </cols>
  <sheetData>
    <row r="3" spans="5:23" ht="15.75" x14ac:dyDescent="0.25">
      <c r="E3" s="19" t="s">
        <v>49</v>
      </c>
      <c r="F3" s="20"/>
      <c r="G3" s="20"/>
      <c r="H3" s="20"/>
      <c r="I3" s="20"/>
      <c r="J3" s="20"/>
      <c r="K3" s="20"/>
      <c r="L3" s="20"/>
      <c r="M3" s="20"/>
      <c r="N3" s="20"/>
      <c r="O3" s="20"/>
      <c r="P3" s="20"/>
      <c r="Q3" s="20"/>
      <c r="R3" s="20"/>
      <c r="S3" s="20"/>
    </row>
    <row r="4" spans="5:23" x14ac:dyDescent="0.25">
      <c r="E4" s="21" t="s">
        <v>50</v>
      </c>
      <c r="F4" s="21"/>
      <c r="G4" s="21"/>
      <c r="H4" s="21"/>
      <c r="I4" s="21"/>
      <c r="J4" s="21"/>
      <c r="K4" s="21"/>
      <c r="L4" s="21"/>
      <c r="M4" s="21"/>
      <c r="N4" s="21"/>
      <c r="O4" s="21"/>
      <c r="P4" s="21"/>
      <c r="Q4" s="21"/>
      <c r="R4" s="21"/>
      <c r="S4" s="21"/>
    </row>
    <row r="5" spans="5:23" ht="15.75" thickBot="1" x14ac:dyDescent="0.3"/>
    <row r="6" spans="5:23" ht="15.75" thickBot="1" x14ac:dyDescent="0.3">
      <c r="E6" s="22"/>
      <c r="F6" s="227" t="s">
        <v>51</v>
      </c>
      <c r="G6" s="228"/>
      <c r="H6" s="228"/>
      <c r="I6" s="228"/>
      <c r="J6" s="227" t="s">
        <v>3</v>
      </c>
      <c r="K6" s="228"/>
      <c r="L6" s="229"/>
      <c r="M6" s="230" t="s">
        <v>20</v>
      </c>
      <c r="N6" s="230"/>
      <c r="O6" s="230"/>
      <c r="P6" s="231" t="s">
        <v>52</v>
      </c>
      <c r="Q6" s="230"/>
      <c r="R6" s="230"/>
      <c r="S6" s="232"/>
      <c r="T6" s="107" t="s">
        <v>78</v>
      </c>
    </row>
    <row r="7" spans="5:23" ht="15.75" thickBot="1" x14ac:dyDescent="0.3">
      <c r="E7" s="23" t="s">
        <v>1</v>
      </c>
      <c r="F7" s="24" t="s">
        <v>53</v>
      </c>
      <c r="G7" s="25" t="s">
        <v>54</v>
      </c>
      <c r="H7" s="26" t="s">
        <v>55</v>
      </c>
      <c r="I7" s="27" t="s">
        <v>56</v>
      </c>
      <c r="J7" s="28" t="s">
        <v>53</v>
      </c>
      <c r="K7" s="29" t="s">
        <v>54</v>
      </c>
      <c r="L7" s="30" t="s">
        <v>57</v>
      </c>
      <c r="M7" s="31" t="s">
        <v>53</v>
      </c>
      <c r="N7" s="32" t="s">
        <v>54</v>
      </c>
      <c r="O7" s="33" t="s">
        <v>57</v>
      </c>
      <c r="P7" s="28" t="s">
        <v>53</v>
      </c>
      <c r="Q7" s="29" t="s">
        <v>54</v>
      </c>
      <c r="R7" s="6" t="s">
        <v>57</v>
      </c>
      <c r="S7" s="34" t="s">
        <v>56</v>
      </c>
      <c r="T7" s="28" t="s">
        <v>53</v>
      </c>
    </row>
    <row r="8" spans="5:23" x14ac:dyDescent="0.25">
      <c r="E8" s="9" t="s">
        <v>4</v>
      </c>
      <c r="F8" s="35">
        <v>15</v>
      </c>
      <c r="G8" s="36">
        <v>39</v>
      </c>
      <c r="H8" s="37">
        <v>238</v>
      </c>
      <c r="I8" s="38">
        <v>5</v>
      </c>
      <c r="J8" s="35">
        <v>15</v>
      </c>
      <c r="K8" s="36">
        <v>34</v>
      </c>
      <c r="L8" s="39">
        <v>622</v>
      </c>
      <c r="M8" s="40">
        <v>3</v>
      </c>
      <c r="N8" s="41">
        <v>23</v>
      </c>
      <c r="O8" s="39">
        <v>227</v>
      </c>
      <c r="P8" s="42">
        <v>4</v>
      </c>
      <c r="Q8" s="36">
        <v>26</v>
      </c>
      <c r="R8" s="36">
        <v>322</v>
      </c>
      <c r="S8" s="43">
        <v>80</v>
      </c>
      <c r="T8" s="101">
        <v>3</v>
      </c>
      <c r="V8">
        <f>F8-P8</f>
        <v>11</v>
      </c>
      <c r="W8">
        <f>J8-P8</f>
        <v>11</v>
      </c>
    </row>
    <row r="9" spans="5:23" x14ac:dyDescent="0.25">
      <c r="E9" s="9" t="s">
        <v>5</v>
      </c>
      <c r="F9" s="44">
        <v>3</v>
      </c>
      <c r="G9" s="45">
        <v>39</v>
      </c>
      <c r="H9" s="10">
        <v>229</v>
      </c>
      <c r="I9" s="46">
        <v>6</v>
      </c>
      <c r="J9" s="44">
        <v>3</v>
      </c>
      <c r="K9" s="45">
        <v>9</v>
      </c>
      <c r="L9" s="47">
        <v>380</v>
      </c>
      <c r="M9" s="48">
        <v>3</v>
      </c>
      <c r="N9" s="49">
        <v>1</v>
      </c>
      <c r="O9" s="47">
        <v>46</v>
      </c>
      <c r="P9" s="49">
        <v>3</v>
      </c>
      <c r="Q9" s="45">
        <v>13</v>
      </c>
      <c r="R9" s="45">
        <v>201</v>
      </c>
      <c r="S9" s="50">
        <v>8</v>
      </c>
      <c r="T9" s="102">
        <v>3</v>
      </c>
      <c r="V9">
        <f t="shared" ref="V9:V41" si="0">F9-P9</f>
        <v>0</v>
      </c>
      <c r="W9">
        <f t="shared" ref="W9:W41" si="1">J9-P9</f>
        <v>0</v>
      </c>
    </row>
    <row r="10" spans="5:23" x14ac:dyDescent="0.25">
      <c r="E10" s="9" t="s">
        <v>6</v>
      </c>
      <c r="F10" s="51">
        <v>12</v>
      </c>
      <c r="G10" s="45">
        <v>65</v>
      </c>
      <c r="H10" s="10">
        <v>275</v>
      </c>
      <c r="I10" s="46">
        <v>5</v>
      </c>
      <c r="J10" s="51">
        <v>12</v>
      </c>
      <c r="K10" s="45">
        <v>2</v>
      </c>
      <c r="L10" s="47">
        <v>358</v>
      </c>
      <c r="M10" s="48">
        <v>5</v>
      </c>
      <c r="N10" s="52">
        <v>2</v>
      </c>
      <c r="O10" s="47">
        <v>70</v>
      </c>
      <c r="P10" s="49">
        <v>5</v>
      </c>
      <c r="Q10" s="49">
        <v>0</v>
      </c>
      <c r="R10" s="45">
        <v>52</v>
      </c>
      <c r="S10" s="50">
        <v>52</v>
      </c>
      <c r="T10" s="102">
        <v>5</v>
      </c>
      <c r="V10">
        <f t="shared" si="0"/>
        <v>7</v>
      </c>
      <c r="W10">
        <f t="shared" si="1"/>
        <v>7</v>
      </c>
    </row>
    <row r="11" spans="5:23" x14ac:dyDescent="0.25">
      <c r="E11" s="9" t="s">
        <v>7</v>
      </c>
      <c r="F11" s="51">
        <v>19</v>
      </c>
      <c r="G11" s="52">
        <v>65</v>
      </c>
      <c r="H11" s="10">
        <v>270</v>
      </c>
      <c r="I11" s="46">
        <v>7</v>
      </c>
      <c r="J11" s="51">
        <v>19</v>
      </c>
      <c r="K11" s="45">
        <v>2</v>
      </c>
      <c r="L11" s="47">
        <v>340</v>
      </c>
      <c r="M11" s="48">
        <v>5</v>
      </c>
      <c r="N11" s="52">
        <v>3</v>
      </c>
      <c r="O11" s="47">
        <v>74</v>
      </c>
      <c r="P11" s="49">
        <v>5</v>
      </c>
      <c r="Q11" s="49">
        <v>0</v>
      </c>
      <c r="R11" s="52">
        <v>130</v>
      </c>
      <c r="S11" s="50">
        <v>114</v>
      </c>
      <c r="T11" s="102">
        <v>5</v>
      </c>
      <c r="V11">
        <f t="shared" si="0"/>
        <v>14</v>
      </c>
      <c r="W11">
        <f t="shared" si="1"/>
        <v>14</v>
      </c>
    </row>
    <row r="12" spans="5:23" x14ac:dyDescent="0.25">
      <c r="E12" s="9" t="s">
        <v>8</v>
      </c>
      <c r="F12" s="51">
        <v>11</v>
      </c>
      <c r="G12" s="52">
        <v>52</v>
      </c>
      <c r="H12" s="10">
        <v>268</v>
      </c>
      <c r="I12" s="46">
        <v>8</v>
      </c>
      <c r="J12" s="51">
        <v>11</v>
      </c>
      <c r="K12" s="45">
        <v>1</v>
      </c>
      <c r="L12" s="47">
        <v>330</v>
      </c>
      <c r="M12" s="48">
        <v>4</v>
      </c>
      <c r="N12" s="52">
        <v>1</v>
      </c>
      <c r="O12" s="47">
        <v>65</v>
      </c>
      <c r="P12" s="49">
        <v>4</v>
      </c>
      <c r="Q12" s="49">
        <v>0</v>
      </c>
      <c r="R12" s="52">
        <v>90</v>
      </c>
      <c r="S12" s="50">
        <v>80</v>
      </c>
      <c r="T12" s="102">
        <v>4</v>
      </c>
      <c r="V12">
        <f t="shared" si="0"/>
        <v>7</v>
      </c>
      <c r="W12">
        <f t="shared" si="1"/>
        <v>7</v>
      </c>
    </row>
    <row r="13" spans="5:23" x14ac:dyDescent="0.25">
      <c r="E13" s="9" t="s">
        <v>9</v>
      </c>
      <c r="F13" s="51">
        <v>9</v>
      </c>
      <c r="G13" s="52">
        <v>52</v>
      </c>
      <c r="H13" s="10">
        <v>245</v>
      </c>
      <c r="I13" s="46">
        <v>5</v>
      </c>
      <c r="J13" s="51">
        <v>9</v>
      </c>
      <c r="K13" s="45">
        <v>2</v>
      </c>
      <c r="L13" s="47">
        <v>303</v>
      </c>
      <c r="M13" s="53">
        <v>9</v>
      </c>
      <c r="N13" s="52">
        <v>10</v>
      </c>
      <c r="O13" s="47">
        <v>197</v>
      </c>
      <c r="P13" s="49">
        <v>8</v>
      </c>
      <c r="Q13" s="49">
        <v>0</v>
      </c>
      <c r="R13" s="52">
        <v>96</v>
      </c>
      <c r="S13" s="50">
        <v>77</v>
      </c>
      <c r="T13" s="102">
        <v>8</v>
      </c>
      <c r="V13">
        <f t="shared" si="0"/>
        <v>1</v>
      </c>
      <c r="W13">
        <f t="shared" si="1"/>
        <v>1</v>
      </c>
    </row>
    <row r="14" spans="5:23" x14ac:dyDescent="0.25">
      <c r="E14" s="9" t="s">
        <v>10</v>
      </c>
      <c r="F14" s="51">
        <v>13</v>
      </c>
      <c r="G14" s="52">
        <v>52</v>
      </c>
      <c r="H14" s="10">
        <v>248</v>
      </c>
      <c r="I14" s="46">
        <v>6</v>
      </c>
      <c r="J14" s="51">
        <v>13</v>
      </c>
      <c r="K14" s="45">
        <v>2</v>
      </c>
      <c r="L14" s="47">
        <v>354</v>
      </c>
      <c r="M14" s="48">
        <v>6</v>
      </c>
      <c r="N14" s="52">
        <v>5</v>
      </c>
      <c r="O14" s="54">
        <v>273</v>
      </c>
      <c r="P14" s="49">
        <v>6</v>
      </c>
      <c r="Q14" s="49">
        <v>0</v>
      </c>
      <c r="R14" s="52">
        <v>149</v>
      </c>
      <c r="S14" s="50">
        <v>102</v>
      </c>
      <c r="T14" s="102">
        <v>6</v>
      </c>
      <c r="V14">
        <f t="shared" si="0"/>
        <v>7</v>
      </c>
      <c r="W14">
        <f t="shared" si="1"/>
        <v>7</v>
      </c>
    </row>
    <row r="15" spans="5:23" x14ac:dyDescent="0.25">
      <c r="E15" s="9" t="s">
        <v>11</v>
      </c>
      <c r="F15" s="48">
        <v>1</v>
      </c>
      <c r="G15" s="52">
        <v>26</v>
      </c>
      <c r="H15" s="11">
        <v>223</v>
      </c>
      <c r="I15" s="55">
        <v>5</v>
      </c>
      <c r="J15" s="48">
        <v>1</v>
      </c>
      <c r="K15" s="49">
        <v>0</v>
      </c>
      <c r="L15" s="47">
        <v>189</v>
      </c>
      <c r="M15" s="48">
        <v>1</v>
      </c>
      <c r="N15" s="49">
        <v>0</v>
      </c>
      <c r="O15" s="47">
        <v>51</v>
      </c>
      <c r="P15" s="49">
        <v>1</v>
      </c>
      <c r="Q15" s="49">
        <v>0</v>
      </c>
      <c r="R15" s="52">
        <v>9</v>
      </c>
      <c r="S15" s="56">
        <v>9</v>
      </c>
      <c r="T15" s="102">
        <v>1</v>
      </c>
      <c r="V15">
        <f t="shared" si="0"/>
        <v>0</v>
      </c>
      <c r="W15">
        <f t="shared" si="1"/>
        <v>0</v>
      </c>
    </row>
    <row r="16" spans="5:23" x14ac:dyDescent="0.25">
      <c r="E16" s="9" t="s">
        <v>12</v>
      </c>
      <c r="F16" s="51">
        <v>15</v>
      </c>
      <c r="G16" s="52">
        <v>39</v>
      </c>
      <c r="H16" s="10">
        <v>240</v>
      </c>
      <c r="I16" s="46">
        <v>6</v>
      </c>
      <c r="J16" s="51">
        <v>15</v>
      </c>
      <c r="K16" s="45">
        <v>34</v>
      </c>
      <c r="L16" s="47">
        <v>592</v>
      </c>
      <c r="M16" s="53">
        <v>15</v>
      </c>
      <c r="N16" s="57">
        <v>23</v>
      </c>
      <c r="O16" s="47">
        <v>356</v>
      </c>
      <c r="P16" s="49">
        <v>9</v>
      </c>
      <c r="Q16" s="49">
        <v>26</v>
      </c>
      <c r="R16" s="52">
        <v>449</v>
      </c>
      <c r="S16" s="50">
        <v>28</v>
      </c>
      <c r="T16" s="102">
        <v>3</v>
      </c>
      <c r="V16">
        <f t="shared" si="0"/>
        <v>6</v>
      </c>
      <c r="W16">
        <f t="shared" si="1"/>
        <v>6</v>
      </c>
    </row>
    <row r="17" spans="5:23" x14ac:dyDescent="0.25">
      <c r="E17" s="9" t="s">
        <v>13</v>
      </c>
      <c r="F17" s="51">
        <v>12</v>
      </c>
      <c r="G17" s="52">
        <v>65</v>
      </c>
      <c r="H17" s="10">
        <v>296</v>
      </c>
      <c r="I17" s="46">
        <v>5</v>
      </c>
      <c r="J17" s="51">
        <v>12</v>
      </c>
      <c r="K17" s="45">
        <v>1</v>
      </c>
      <c r="L17" s="47">
        <v>334</v>
      </c>
      <c r="M17" s="48">
        <v>5</v>
      </c>
      <c r="N17" s="52">
        <v>16</v>
      </c>
      <c r="O17" s="47">
        <v>262</v>
      </c>
      <c r="P17" s="49">
        <v>5</v>
      </c>
      <c r="Q17" s="49">
        <v>0</v>
      </c>
      <c r="R17" s="52">
        <v>250</v>
      </c>
      <c r="S17" s="50">
        <v>240</v>
      </c>
      <c r="T17" s="102">
        <v>5</v>
      </c>
      <c r="V17">
        <f t="shared" si="0"/>
        <v>7</v>
      </c>
      <c r="W17">
        <f t="shared" si="1"/>
        <v>7</v>
      </c>
    </row>
    <row r="18" spans="5:23" x14ac:dyDescent="0.25">
      <c r="E18" s="9" t="s">
        <v>14</v>
      </c>
      <c r="F18" s="51">
        <v>7</v>
      </c>
      <c r="G18" s="52">
        <v>91</v>
      </c>
      <c r="H18" s="10">
        <v>300</v>
      </c>
      <c r="I18" s="46">
        <v>7</v>
      </c>
      <c r="J18" s="51">
        <v>7</v>
      </c>
      <c r="K18" s="45">
        <v>2</v>
      </c>
      <c r="L18" s="47">
        <v>299</v>
      </c>
      <c r="M18" s="48">
        <v>7</v>
      </c>
      <c r="N18" s="49">
        <v>0</v>
      </c>
      <c r="O18" s="47">
        <v>333</v>
      </c>
      <c r="P18" s="49">
        <v>7</v>
      </c>
      <c r="Q18" s="49">
        <v>0</v>
      </c>
      <c r="R18" s="52">
        <v>12</v>
      </c>
      <c r="S18" s="50">
        <v>9</v>
      </c>
      <c r="T18" s="102">
        <v>7</v>
      </c>
      <c r="V18">
        <f t="shared" si="0"/>
        <v>0</v>
      </c>
      <c r="W18">
        <f t="shared" si="1"/>
        <v>0</v>
      </c>
    </row>
    <row r="19" spans="5:23" x14ac:dyDescent="0.25">
      <c r="E19" s="9" t="s">
        <v>15</v>
      </c>
      <c r="F19" s="51">
        <v>10</v>
      </c>
      <c r="G19" s="52">
        <v>78</v>
      </c>
      <c r="H19" s="10">
        <v>260</v>
      </c>
      <c r="I19" s="46">
        <v>5</v>
      </c>
      <c r="J19" s="51">
        <v>10</v>
      </c>
      <c r="K19" s="45">
        <v>1</v>
      </c>
      <c r="L19" s="47">
        <v>355</v>
      </c>
      <c r="M19" s="48">
        <v>7</v>
      </c>
      <c r="N19" s="52">
        <v>4</v>
      </c>
      <c r="O19" s="47">
        <v>105</v>
      </c>
      <c r="P19" s="52">
        <v>8</v>
      </c>
      <c r="Q19" s="49">
        <v>0</v>
      </c>
      <c r="R19" s="52">
        <v>115</v>
      </c>
      <c r="S19" s="50">
        <v>99</v>
      </c>
      <c r="T19" s="102">
        <v>6</v>
      </c>
      <c r="V19">
        <f t="shared" si="0"/>
        <v>2</v>
      </c>
      <c r="W19">
        <f t="shared" si="1"/>
        <v>2</v>
      </c>
    </row>
    <row r="20" spans="5:23" x14ac:dyDescent="0.25">
      <c r="E20" s="9" t="s">
        <v>16</v>
      </c>
      <c r="F20" s="51">
        <v>9</v>
      </c>
      <c r="G20" s="52">
        <v>65</v>
      </c>
      <c r="H20" s="10">
        <v>262</v>
      </c>
      <c r="I20" s="46">
        <v>3</v>
      </c>
      <c r="J20" s="51">
        <v>9</v>
      </c>
      <c r="K20" s="45">
        <v>2</v>
      </c>
      <c r="L20" s="47">
        <v>262</v>
      </c>
      <c r="M20" s="48">
        <v>5</v>
      </c>
      <c r="N20" s="52">
        <v>24</v>
      </c>
      <c r="O20" s="47">
        <v>180</v>
      </c>
      <c r="P20" s="52">
        <v>7</v>
      </c>
      <c r="Q20" s="49">
        <v>0</v>
      </c>
      <c r="R20" s="52">
        <v>132</v>
      </c>
      <c r="S20" s="50">
        <v>112</v>
      </c>
      <c r="T20" s="102">
        <v>5</v>
      </c>
      <c r="V20">
        <f t="shared" si="0"/>
        <v>2</v>
      </c>
      <c r="W20">
        <f t="shared" si="1"/>
        <v>2</v>
      </c>
    </row>
    <row r="21" spans="5:23" x14ac:dyDescent="0.25">
      <c r="E21" s="9" t="s">
        <v>17</v>
      </c>
      <c r="F21" s="51">
        <v>6</v>
      </c>
      <c r="G21" s="52">
        <v>65</v>
      </c>
      <c r="H21" s="10">
        <v>268</v>
      </c>
      <c r="I21" s="46">
        <v>5</v>
      </c>
      <c r="J21" s="51">
        <v>6</v>
      </c>
      <c r="K21" s="45">
        <v>1</v>
      </c>
      <c r="L21" s="47">
        <v>252</v>
      </c>
      <c r="M21" s="48">
        <v>5</v>
      </c>
      <c r="N21" s="52">
        <v>2</v>
      </c>
      <c r="O21" s="47">
        <v>81</v>
      </c>
      <c r="P21" s="52">
        <v>6</v>
      </c>
      <c r="Q21" s="49">
        <v>0</v>
      </c>
      <c r="R21" s="52">
        <v>94</v>
      </c>
      <c r="S21" s="50">
        <v>67</v>
      </c>
      <c r="T21" s="102">
        <v>6</v>
      </c>
      <c r="V21">
        <f t="shared" si="0"/>
        <v>0</v>
      </c>
      <c r="W21">
        <f t="shared" si="1"/>
        <v>0</v>
      </c>
    </row>
    <row r="22" spans="5:23" x14ac:dyDescent="0.25">
      <c r="E22" s="58" t="s">
        <v>58</v>
      </c>
      <c r="F22" s="58">
        <f>SUM(F8:F21)</f>
        <v>142</v>
      </c>
      <c r="G22" s="59">
        <f>SUM(G8:G21)</f>
        <v>793</v>
      </c>
      <c r="H22" s="59">
        <f>SUM(H8:H21)/14</f>
        <v>258.71428571428572</v>
      </c>
      <c r="I22" s="60">
        <f>SUM(I8:I21)/14</f>
        <v>5.5714285714285712</v>
      </c>
      <c r="J22" s="58">
        <f>SUM(J8:J21)</f>
        <v>142</v>
      </c>
      <c r="K22" s="59">
        <f>SUM(K8:K21)</f>
        <v>93</v>
      </c>
      <c r="L22" s="61">
        <f>SUM(L8:L21)/14</f>
        <v>355</v>
      </c>
      <c r="M22" s="58">
        <f>SUM(M8:M21)</f>
        <v>80</v>
      </c>
      <c r="N22" s="59">
        <f>SUM(N8:N21)</f>
        <v>114</v>
      </c>
      <c r="O22" s="61">
        <f>SUM(O8:O21)/14</f>
        <v>165.71428571428572</v>
      </c>
      <c r="P22" s="62">
        <f>SUM(P8:P21)</f>
        <v>78</v>
      </c>
      <c r="Q22" s="62">
        <f>SUM(Q8:Q21)</f>
        <v>65</v>
      </c>
      <c r="R22" s="59">
        <f>SUM(R8:R21)/14</f>
        <v>150.07142857142858</v>
      </c>
      <c r="S22" s="63">
        <f>SUM(S8:S21)/14</f>
        <v>76.928571428571431</v>
      </c>
      <c r="T22" s="103">
        <f>SUM(T8:T21)</f>
        <v>67</v>
      </c>
    </row>
    <row r="23" spans="5:23" x14ac:dyDescent="0.25">
      <c r="E23" s="18" t="s">
        <v>23</v>
      </c>
      <c r="F23" s="53">
        <v>11</v>
      </c>
      <c r="G23" s="52">
        <v>104</v>
      </c>
      <c r="H23" s="11">
        <v>308</v>
      </c>
      <c r="I23" s="55">
        <v>7</v>
      </c>
      <c r="J23" s="53">
        <v>11</v>
      </c>
      <c r="K23" s="52">
        <v>1</v>
      </c>
      <c r="L23" s="47">
        <v>291</v>
      </c>
      <c r="M23" s="48">
        <v>8</v>
      </c>
      <c r="N23" s="52">
        <v>1</v>
      </c>
      <c r="O23" s="47">
        <v>72</v>
      </c>
      <c r="P23" s="52">
        <v>9</v>
      </c>
      <c r="Q23" s="49">
        <v>0</v>
      </c>
      <c r="R23" s="52">
        <v>120</v>
      </c>
      <c r="S23" s="64">
        <v>114</v>
      </c>
      <c r="T23" s="102">
        <v>8</v>
      </c>
      <c r="V23">
        <f t="shared" si="0"/>
        <v>2</v>
      </c>
      <c r="W23">
        <f t="shared" si="1"/>
        <v>2</v>
      </c>
    </row>
    <row r="24" spans="5:23" x14ac:dyDescent="0.25">
      <c r="E24" s="9" t="s">
        <v>24</v>
      </c>
      <c r="F24" s="51">
        <v>11</v>
      </c>
      <c r="G24" s="52">
        <v>104</v>
      </c>
      <c r="H24" s="10">
        <v>307</v>
      </c>
      <c r="I24" s="46">
        <v>6</v>
      </c>
      <c r="J24" s="51">
        <v>11</v>
      </c>
      <c r="K24" s="45">
        <v>1</v>
      </c>
      <c r="L24" s="47">
        <v>347</v>
      </c>
      <c r="M24" s="48">
        <v>8</v>
      </c>
      <c r="N24" s="52">
        <v>2</v>
      </c>
      <c r="O24" s="47">
        <v>180</v>
      </c>
      <c r="P24" s="52">
        <v>9</v>
      </c>
      <c r="Q24" s="49">
        <v>0</v>
      </c>
      <c r="R24" s="52">
        <v>23</v>
      </c>
      <c r="S24" s="65">
        <v>16</v>
      </c>
      <c r="T24" s="102">
        <v>8</v>
      </c>
      <c r="V24">
        <f t="shared" si="0"/>
        <v>2</v>
      </c>
      <c r="W24">
        <f t="shared" si="1"/>
        <v>2</v>
      </c>
    </row>
    <row r="25" spans="5:23" x14ac:dyDescent="0.25">
      <c r="E25" s="18" t="s">
        <v>25</v>
      </c>
      <c r="F25" s="51">
        <v>21</v>
      </c>
      <c r="G25" s="52">
        <v>104</v>
      </c>
      <c r="H25" s="10">
        <v>318</v>
      </c>
      <c r="I25" s="46">
        <v>5</v>
      </c>
      <c r="J25" s="51">
        <v>21</v>
      </c>
      <c r="K25" s="45">
        <v>3</v>
      </c>
      <c r="L25" s="47">
        <v>350</v>
      </c>
      <c r="M25" s="48">
        <v>10</v>
      </c>
      <c r="N25" s="52">
        <v>33</v>
      </c>
      <c r="O25" s="47">
        <v>549</v>
      </c>
      <c r="P25" s="52">
        <v>11</v>
      </c>
      <c r="Q25" s="49">
        <v>0</v>
      </c>
      <c r="R25" s="52">
        <v>230</v>
      </c>
      <c r="S25" s="50">
        <v>200</v>
      </c>
      <c r="T25" s="102">
        <v>10</v>
      </c>
      <c r="V25">
        <f t="shared" si="0"/>
        <v>10</v>
      </c>
      <c r="W25">
        <f t="shared" si="1"/>
        <v>10</v>
      </c>
    </row>
    <row r="26" spans="5:23" x14ac:dyDescent="0.25">
      <c r="E26" s="9" t="s">
        <v>26</v>
      </c>
      <c r="F26" s="51">
        <v>28</v>
      </c>
      <c r="G26" s="52">
        <v>156</v>
      </c>
      <c r="H26" s="10">
        <v>360</v>
      </c>
      <c r="I26" s="46">
        <v>7</v>
      </c>
      <c r="J26" s="51">
        <v>28</v>
      </c>
      <c r="K26" s="66">
        <v>0</v>
      </c>
      <c r="L26" s="47">
        <v>230</v>
      </c>
      <c r="M26" s="53">
        <v>28</v>
      </c>
      <c r="N26" s="52">
        <v>32</v>
      </c>
      <c r="O26" s="47">
        <v>451</v>
      </c>
      <c r="P26" s="49">
        <v>18</v>
      </c>
      <c r="Q26" s="49">
        <v>0</v>
      </c>
      <c r="R26" s="52">
        <v>45</v>
      </c>
      <c r="S26" s="50">
        <v>45</v>
      </c>
      <c r="T26" s="102">
        <v>18</v>
      </c>
      <c r="V26">
        <f t="shared" si="0"/>
        <v>10</v>
      </c>
      <c r="W26">
        <f t="shared" si="1"/>
        <v>10</v>
      </c>
    </row>
    <row r="27" spans="5:23" x14ac:dyDescent="0.25">
      <c r="E27" s="18" t="s">
        <v>27</v>
      </c>
      <c r="F27" s="51">
        <v>33</v>
      </c>
      <c r="G27" s="52">
        <v>104</v>
      </c>
      <c r="H27" s="10">
        <v>315</v>
      </c>
      <c r="I27" s="46">
        <v>6</v>
      </c>
      <c r="J27" s="51">
        <v>33</v>
      </c>
      <c r="K27" s="66">
        <v>0</v>
      </c>
      <c r="L27" s="47">
        <v>199</v>
      </c>
      <c r="M27" s="48">
        <v>8</v>
      </c>
      <c r="N27" s="52">
        <v>3</v>
      </c>
      <c r="O27" s="47">
        <v>156</v>
      </c>
      <c r="P27" s="52">
        <v>10</v>
      </c>
      <c r="Q27" s="49">
        <v>0</v>
      </c>
      <c r="R27" s="52">
        <v>56</v>
      </c>
      <c r="S27" s="50">
        <v>55</v>
      </c>
      <c r="T27" s="102">
        <v>8</v>
      </c>
      <c r="V27">
        <f t="shared" si="0"/>
        <v>23</v>
      </c>
      <c r="W27">
        <f t="shared" si="1"/>
        <v>23</v>
      </c>
    </row>
    <row r="28" spans="5:23" x14ac:dyDescent="0.25">
      <c r="E28" s="9" t="s">
        <v>28</v>
      </c>
      <c r="F28" s="51">
        <v>24</v>
      </c>
      <c r="G28" s="52">
        <v>117</v>
      </c>
      <c r="H28" s="10">
        <v>430</v>
      </c>
      <c r="I28" s="46">
        <v>5</v>
      </c>
      <c r="J28" s="51">
        <v>24</v>
      </c>
      <c r="K28" s="66">
        <v>0</v>
      </c>
      <c r="L28" s="47">
        <v>245</v>
      </c>
      <c r="M28" s="48">
        <v>9</v>
      </c>
      <c r="N28" s="52">
        <v>3</v>
      </c>
      <c r="O28" s="47">
        <v>90</v>
      </c>
      <c r="P28" s="49">
        <v>9</v>
      </c>
      <c r="Q28" s="49">
        <v>0</v>
      </c>
      <c r="R28" s="52">
        <v>450</v>
      </c>
      <c r="S28" s="50">
        <v>445</v>
      </c>
      <c r="T28" s="102">
        <v>9</v>
      </c>
      <c r="V28">
        <f t="shared" si="0"/>
        <v>15</v>
      </c>
      <c r="W28">
        <f t="shared" si="1"/>
        <v>15</v>
      </c>
    </row>
    <row r="29" spans="5:23" x14ac:dyDescent="0.25">
      <c r="E29" s="18" t="s">
        <v>29</v>
      </c>
      <c r="F29" s="51">
        <v>17</v>
      </c>
      <c r="G29" s="52">
        <v>117</v>
      </c>
      <c r="H29" s="10">
        <v>436</v>
      </c>
      <c r="I29" s="46">
        <v>7</v>
      </c>
      <c r="J29" s="51">
        <v>17</v>
      </c>
      <c r="K29" s="45">
        <v>2</v>
      </c>
      <c r="L29" s="47">
        <v>422</v>
      </c>
      <c r="M29" s="48">
        <v>9</v>
      </c>
      <c r="N29" s="52">
        <v>5</v>
      </c>
      <c r="O29" s="47">
        <v>380</v>
      </c>
      <c r="P29" s="49">
        <v>9</v>
      </c>
      <c r="Q29" s="49">
        <v>0</v>
      </c>
      <c r="R29" s="52">
        <v>168</v>
      </c>
      <c r="S29" s="50">
        <v>175</v>
      </c>
      <c r="T29" s="102">
        <v>9</v>
      </c>
      <c r="V29">
        <f t="shared" si="0"/>
        <v>8</v>
      </c>
      <c r="W29">
        <f t="shared" si="1"/>
        <v>8</v>
      </c>
    </row>
    <row r="30" spans="5:23" x14ac:dyDescent="0.25">
      <c r="E30" s="9" t="s">
        <v>30</v>
      </c>
      <c r="F30" s="51">
        <v>25</v>
      </c>
      <c r="G30" s="52">
        <v>143</v>
      </c>
      <c r="H30" s="10">
        <v>402</v>
      </c>
      <c r="I30" s="46">
        <v>4</v>
      </c>
      <c r="J30" s="51">
        <v>25</v>
      </c>
      <c r="K30" s="45">
        <v>2</v>
      </c>
      <c r="L30" s="47">
        <v>300</v>
      </c>
      <c r="M30" s="48">
        <v>11</v>
      </c>
      <c r="N30" s="52">
        <v>2</v>
      </c>
      <c r="O30" s="47">
        <v>308</v>
      </c>
      <c r="P30" s="49">
        <v>11</v>
      </c>
      <c r="Q30" s="49">
        <v>0</v>
      </c>
      <c r="R30" s="52">
        <v>200</v>
      </c>
      <c r="S30" s="50">
        <v>187</v>
      </c>
      <c r="T30" s="102">
        <v>11</v>
      </c>
      <c r="V30">
        <f t="shared" si="0"/>
        <v>14</v>
      </c>
      <c r="W30">
        <f t="shared" si="1"/>
        <v>14</v>
      </c>
    </row>
    <row r="31" spans="5:23" x14ac:dyDescent="0.25">
      <c r="E31" s="18" t="s">
        <v>31</v>
      </c>
      <c r="F31" s="51">
        <v>16</v>
      </c>
      <c r="G31" s="52">
        <v>117</v>
      </c>
      <c r="H31" s="10">
        <v>400</v>
      </c>
      <c r="I31" s="46">
        <v>6</v>
      </c>
      <c r="J31" s="51">
        <v>16</v>
      </c>
      <c r="K31" s="45">
        <v>2</v>
      </c>
      <c r="L31" s="47">
        <v>480</v>
      </c>
      <c r="M31" s="48">
        <v>9</v>
      </c>
      <c r="N31" s="52">
        <v>16</v>
      </c>
      <c r="O31" s="47">
        <v>185</v>
      </c>
      <c r="P31" s="49">
        <v>9</v>
      </c>
      <c r="Q31" s="49">
        <v>0</v>
      </c>
      <c r="R31" s="52">
        <v>180</v>
      </c>
      <c r="S31" s="50">
        <v>170</v>
      </c>
      <c r="T31" s="102">
        <v>9</v>
      </c>
      <c r="V31">
        <f t="shared" si="0"/>
        <v>7</v>
      </c>
      <c r="W31">
        <f t="shared" si="1"/>
        <v>7</v>
      </c>
    </row>
    <row r="32" spans="5:23" x14ac:dyDescent="0.25">
      <c r="E32" s="9" t="s">
        <v>32</v>
      </c>
      <c r="F32" s="51">
        <v>13</v>
      </c>
      <c r="G32" s="52">
        <v>130</v>
      </c>
      <c r="H32" s="10">
        <v>350</v>
      </c>
      <c r="I32" s="46">
        <v>8</v>
      </c>
      <c r="J32" s="51">
        <v>13</v>
      </c>
      <c r="K32" s="66">
        <v>0</v>
      </c>
      <c r="L32" s="47">
        <v>240</v>
      </c>
      <c r="M32" s="48">
        <v>11</v>
      </c>
      <c r="N32" s="52">
        <v>6</v>
      </c>
      <c r="O32" s="47">
        <v>160</v>
      </c>
      <c r="P32" s="49">
        <v>11</v>
      </c>
      <c r="Q32" s="49">
        <v>0</v>
      </c>
      <c r="R32" s="52">
        <v>150</v>
      </c>
      <c r="S32" s="50">
        <v>140</v>
      </c>
      <c r="T32" s="102">
        <v>11</v>
      </c>
      <c r="V32">
        <f t="shared" si="0"/>
        <v>2</v>
      </c>
      <c r="W32">
        <f t="shared" si="1"/>
        <v>2</v>
      </c>
    </row>
    <row r="33" spans="5:23" x14ac:dyDescent="0.25">
      <c r="E33" s="58" t="s">
        <v>58</v>
      </c>
      <c r="F33" s="58">
        <f>SUM(F23:F32)</f>
        <v>199</v>
      </c>
      <c r="G33" s="59">
        <f>SUM(G23:G32)</f>
        <v>1196</v>
      </c>
      <c r="H33" s="67">
        <f>AVERAGE(H23:H32)</f>
        <v>362.6</v>
      </c>
      <c r="I33" s="68">
        <f>AVERAGE(I23:I32)</f>
        <v>6.1</v>
      </c>
      <c r="J33" s="58">
        <f>SUM(J23:J32)</f>
        <v>199</v>
      </c>
      <c r="K33" s="59">
        <f>SUM(K23:K32)</f>
        <v>11</v>
      </c>
      <c r="L33" s="61">
        <f>AVERAGE(L23:L32)</f>
        <v>310.39999999999998</v>
      </c>
      <c r="M33" s="58">
        <f>SUM(M23:M32)</f>
        <v>111</v>
      </c>
      <c r="N33" s="59">
        <f>SUM(N23:N32)</f>
        <v>103</v>
      </c>
      <c r="O33" s="61">
        <f>AVERAGE(O23:O32)</f>
        <v>253.1</v>
      </c>
      <c r="P33" s="62">
        <f>SUM(P23:P32)</f>
        <v>106</v>
      </c>
      <c r="Q33" s="62">
        <v>0</v>
      </c>
      <c r="R33" s="59">
        <f>AVERAGE(R23:R32)</f>
        <v>162.19999999999999</v>
      </c>
      <c r="S33" s="63">
        <f>AVERAGE(S23:S32)</f>
        <v>154.69999999999999</v>
      </c>
      <c r="T33" s="103">
        <f>SUM(T23:T32)</f>
        <v>101</v>
      </c>
    </row>
    <row r="34" spans="5:23" x14ac:dyDescent="0.25">
      <c r="E34" s="18" t="s">
        <v>39</v>
      </c>
      <c r="F34" s="53">
        <v>14</v>
      </c>
      <c r="G34" s="52">
        <v>78</v>
      </c>
      <c r="H34" s="11">
        <v>282</v>
      </c>
      <c r="I34" s="55">
        <v>5</v>
      </c>
      <c r="J34" s="53">
        <v>14</v>
      </c>
      <c r="K34" s="52">
        <v>12</v>
      </c>
      <c r="L34" s="47">
        <v>720</v>
      </c>
      <c r="M34" s="48">
        <v>6</v>
      </c>
      <c r="N34" s="52">
        <v>10</v>
      </c>
      <c r="O34" s="47">
        <v>260</v>
      </c>
      <c r="P34" s="52">
        <v>14</v>
      </c>
      <c r="Q34" s="49">
        <v>0</v>
      </c>
      <c r="R34" s="52">
        <v>124</v>
      </c>
      <c r="S34" s="56">
        <v>100</v>
      </c>
      <c r="T34" s="102">
        <v>6</v>
      </c>
      <c r="V34">
        <f t="shared" si="0"/>
        <v>0</v>
      </c>
      <c r="W34">
        <f t="shared" si="1"/>
        <v>0</v>
      </c>
    </row>
    <row r="35" spans="5:23" x14ac:dyDescent="0.25">
      <c r="E35" s="9" t="s">
        <v>40</v>
      </c>
      <c r="F35" s="51">
        <v>10</v>
      </c>
      <c r="G35" s="52">
        <v>78</v>
      </c>
      <c r="H35" s="10">
        <v>279</v>
      </c>
      <c r="I35" s="46">
        <v>7</v>
      </c>
      <c r="J35" s="51">
        <v>10</v>
      </c>
      <c r="K35" s="45">
        <v>1</v>
      </c>
      <c r="L35" s="47">
        <v>230</v>
      </c>
      <c r="M35" s="48">
        <v>6</v>
      </c>
      <c r="N35" s="52">
        <v>5</v>
      </c>
      <c r="O35" s="47">
        <v>142</v>
      </c>
      <c r="P35" s="52">
        <v>10</v>
      </c>
      <c r="Q35" s="49">
        <v>0</v>
      </c>
      <c r="R35" s="52">
        <v>94</v>
      </c>
      <c r="S35" s="50">
        <v>80</v>
      </c>
      <c r="T35" s="102">
        <v>6</v>
      </c>
      <c r="V35">
        <f t="shared" si="0"/>
        <v>0</v>
      </c>
      <c r="W35">
        <f t="shared" si="1"/>
        <v>0</v>
      </c>
    </row>
    <row r="36" spans="5:23" x14ac:dyDescent="0.25">
      <c r="E36" s="18" t="s">
        <v>41</v>
      </c>
      <c r="F36" s="51">
        <v>10</v>
      </c>
      <c r="G36" s="52">
        <v>91</v>
      </c>
      <c r="H36" s="10">
        <v>314</v>
      </c>
      <c r="I36" s="46">
        <v>9</v>
      </c>
      <c r="J36" s="51">
        <v>10</v>
      </c>
      <c r="K36" s="45">
        <v>2</v>
      </c>
      <c r="L36" s="47">
        <v>314</v>
      </c>
      <c r="M36" s="48">
        <v>7</v>
      </c>
      <c r="N36" s="52">
        <v>5</v>
      </c>
      <c r="O36" s="47">
        <v>146</v>
      </c>
      <c r="P36" s="52">
        <v>11</v>
      </c>
      <c r="Q36" s="49">
        <v>0</v>
      </c>
      <c r="R36" s="52">
        <v>99</v>
      </c>
      <c r="S36" s="50">
        <v>103</v>
      </c>
      <c r="T36" s="102">
        <v>7</v>
      </c>
      <c r="V36">
        <f t="shared" si="0"/>
        <v>-1</v>
      </c>
      <c r="W36">
        <f t="shared" si="1"/>
        <v>-1</v>
      </c>
    </row>
    <row r="37" spans="5:23" x14ac:dyDescent="0.25">
      <c r="E37" s="9" t="s">
        <v>42</v>
      </c>
      <c r="F37" s="51">
        <v>18</v>
      </c>
      <c r="G37" s="52">
        <v>104</v>
      </c>
      <c r="H37" s="10">
        <v>321</v>
      </c>
      <c r="I37" s="46">
        <v>7</v>
      </c>
      <c r="J37" s="51">
        <v>18</v>
      </c>
      <c r="K37" s="66">
        <v>0</v>
      </c>
      <c r="L37" s="47">
        <v>198</v>
      </c>
      <c r="M37" s="48">
        <v>8</v>
      </c>
      <c r="N37" s="52">
        <v>8</v>
      </c>
      <c r="O37" s="47">
        <v>338</v>
      </c>
      <c r="P37" s="52">
        <v>16</v>
      </c>
      <c r="Q37" s="49">
        <v>0</v>
      </c>
      <c r="R37" s="52">
        <v>80</v>
      </c>
      <c r="S37" s="50">
        <v>77</v>
      </c>
      <c r="T37" s="102">
        <v>8</v>
      </c>
      <c r="V37">
        <f t="shared" si="0"/>
        <v>2</v>
      </c>
      <c r="W37">
        <f t="shared" si="1"/>
        <v>2</v>
      </c>
    </row>
    <row r="38" spans="5:23" x14ac:dyDescent="0.25">
      <c r="E38" s="18" t="s">
        <v>43</v>
      </c>
      <c r="F38" s="51">
        <v>21</v>
      </c>
      <c r="G38" s="52">
        <v>143</v>
      </c>
      <c r="H38" s="10">
        <v>400</v>
      </c>
      <c r="I38" s="46">
        <v>5</v>
      </c>
      <c r="J38" s="51">
        <v>21</v>
      </c>
      <c r="K38" s="45">
        <v>2</v>
      </c>
      <c r="L38" s="47">
        <v>277</v>
      </c>
      <c r="M38" s="48">
        <v>12</v>
      </c>
      <c r="N38" s="52">
        <v>31</v>
      </c>
      <c r="O38" s="47">
        <v>10255</v>
      </c>
      <c r="P38" s="52">
        <v>20</v>
      </c>
      <c r="Q38" s="49">
        <v>0</v>
      </c>
      <c r="R38" s="52">
        <v>130</v>
      </c>
      <c r="S38" s="50">
        <v>125</v>
      </c>
      <c r="T38" s="102">
        <v>11</v>
      </c>
      <c r="V38">
        <f t="shared" si="0"/>
        <v>1</v>
      </c>
      <c r="W38">
        <f t="shared" si="1"/>
        <v>1</v>
      </c>
    </row>
    <row r="39" spans="5:23" x14ac:dyDescent="0.25">
      <c r="E39" s="9" t="s">
        <v>44</v>
      </c>
      <c r="F39" s="51">
        <v>20</v>
      </c>
      <c r="G39" s="52">
        <v>130</v>
      </c>
      <c r="H39" s="10">
        <v>419</v>
      </c>
      <c r="I39" s="46">
        <v>4</v>
      </c>
      <c r="J39" s="51">
        <v>20</v>
      </c>
      <c r="K39" s="45">
        <v>2</v>
      </c>
      <c r="L39" s="47">
        <v>298</v>
      </c>
      <c r="M39" s="48">
        <v>10</v>
      </c>
      <c r="N39" s="52">
        <v>52</v>
      </c>
      <c r="O39" s="47">
        <v>13173</v>
      </c>
      <c r="P39" s="52">
        <v>18</v>
      </c>
      <c r="Q39" s="49">
        <v>0</v>
      </c>
      <c r="R39" s="52">
        <v>160</v>
      </c>
      <c r="S39" s="50">
        <v>160</v>
      </c>
      <c r="T39" s="102">
        <v>10</v>
      </c>
      <c r="V39">
        <f t="shared" si="0"/>
        <v>2</v>
      </c>
      <c r="W39">
        <f t="shared" si="1"/>
        <v>2</v>
      </c>
    </row>
    <row r="40" spans="5:23" x14ac:dyDescent="0.25">
      <c r="E40" s="18" t="s">
        <v>45</v>
      </c>
      <c r="F40" s="51">
        <v>20</v>
      </c>
      <c r="G40" s="52">
        <v>65</v>
      </c>
      <c r="H40" s="10">
        <v>320</v>
      </c>
      <c r="I40" s="46">
        <v>6</v>
      </c>
      <c r="J40" s="51">
        <v>20</v>
      </c>
      <c r="K40" s="45">
        <v>13</v>
      </c>
      <c r="L40" s="47">
        <v>240</v>
      </c>
      <c r="M40" s="48">
        <v>6</v>
      </c>
      <c r="N40" s="52">
        <v>7</v>
      </c>
      <c r="O40" s="47">
        <v>1822</v>
      </c>
      <c r="P40" s="52">
        <v>9</v>
      </c>
      <c r="Q40" s="49">
        <v>0</v>
      </c>
      <c r="R40" s="52">
        <v>270</v>
      </c>
      <c r="S40" s="50">
        <v>236</v>
      </c>
      <c r="T40" s="102">
        <v>5</v>
      </c>
      <c r="V40">
        <f t="shared" si="0"/>
        <v>11</v>
      </c>
      <c r="W40">
        <f t="shared" si="1"/>
        <v>11</v>
      </c>
    </row>
    <row r="41" spans="5:23" x14ac:dyDescent="0.25">
      <c r="E41" s="9" t="s">
        <v>46</v>
      </c>
      <c r="F41" s="51">
        <v>20</v>
      </c>
      <c r="G41" s="52">
        <v>104</v>
      </c>
      <c r="H41" s="10">
        <v>366</v>
      </c>
      <c r="I41" s="46">
        <v>7</v>
      </c>
      <c r="J41" s="51">
        <v>20</v>
      </c>
      <c r="K41" s="45">
        <v>12</v>
      </c>
      <c r="L41" s="47">
        <v>700</v>
      </c>
      <c r="M41" s="48">
        <v>9</v>
      </c>
      <c r="N41" s="52">
        <v>17</v>
      </c>
      <c r="O41" s="47">
        <v>404</v>
      </c>
      <c r="P41" s="52">
        <v>20</v>
      </c>
      <c r="Q41" s="49">
        <v>0</v>
      </c>
      <c r="R41" s="52">
        <v>170</v>
      </c>
      <c r="S41" s="50">
        <v>156</v>
      </c>
      <c r="T41" s="102">
        <v>8</v>
      </c>
      <c r="V41">
        <f t="shared" si="0"/>
        <v>0</v>
      </c>
      <c r="W41">
        <f t="shared" si="1"/>
        <v>0</v>
      </c>
    </row>
    <row r="42" spans="5:23" ht="15.75" thickBot="1" x14ac:dyDescent="0.3">
      <c r="E42" s="58" t="s">
        <v>58</v>
      </c>
      <c r="F42" s="12">
        <f>SUM(F34:F41)</f>
        <v>133</v>
      </c>
      <c r="G42" s="69">
        <f>SUM(G34:G41)</f>
        <v>793</v>
      </c>
      <c r="H42" s="69">
        <f>SUM(H34:H41)/8</f>
        <v>337.625</v>
      </c>
      <c r="I42" s="70">
        <f>SUM(I34:I41)/8</f>
        <v>6.25</v>
      </c>
      <c r="J42" s="12">
        <f>SUM(J34:J41)</f>
        <v>133</v>
      </c>
      <c r="K42" s="69">
        <f>SUM(K34:K41)</f>
        <v>44</v>
      </c>
      <c r="L42" s="71">
        <f>SUM(L34:L41)/8</f>
        <v>372.125</v>
      </c>
      <c r="M42" s="72">
        <f>SUM(M34:M41)</f>
        <v>64</v>
      </c>
      <c r="N42" s="69">
        <f>SUM(N34:N41)</f>
        <v>135</v>
      </c>
      <c r="O42" s="71">
        <f>SUM(O34:O41)/8</f>
        <v>3317.5</v>
      </c>
      <c r="P42" s="69">
        <f>SUM(P34:P41)</f>
        <v>118</v>
      </c>
      <c r="Q42" s="73">
        <f>SUM(Q34:Q41)</f>
        <v>0</v>
      </c>
      <c r="R42" s="69">
        <f>SUM(R34:R41)/8</f>
        <v>140.875</v>
      </c>
      <c r="S42" s="74">
        <f>SUM(S34:S41)/8</f>
        <v>129.625</v>
      </c>
      <c r="T42" s="103">
        <f>SUM(T34:T41)</f>
        <v>61</v>
      </c>
    </row>
    <row r="43" spans="5:23" ht="15.75" thickBot="1" x14ac:dyDescent="0.3">
      <c r="E43" s="75" t="s">
        <v>59</v>
      </c>
      <c r="F43" s="76">
        <f>SUM(F34:F41,F23:F32,F8:F21)</f>
        <v>474</v>
      </c>
      <c r="G43" s="77">
        <f>SUM(G34:G41,G23:G32,G8:G21)</f>
        <v>2782</v>
      </c>
      <c r="H43" s="78">
        <f>AVERAGE(H34:H41,H23:H32,H8:H21)</f>
        <v>310.90625</v>
      </c>
      <c r="I43" s="79">
        <f>AVERAGE(I34:I41,I23:I32,I8:I21)</f>
        <v>5.90625</v>
      </c>
      <c r="J43" s="76">
        <f>SUM(J34:J41,J23:J32,J8:J21)</f>
        <v>474</v>
      </c>
      <c r="K43" s="77">
        <f>SUM(K34:K41,K23:K32,K8:K21)</f>
        <v>148</v>
      </c>
      <c r="L43" s="80">
        <f>SUM(L34:L41,L23:L32,L8:L21)/32</f>
        <v>345.34375</v>
      </c>
      <c r="M43" s="81">
        <f>SUM(M34:M41,M23:M32,M8:M21)</f>
        <v>255</v>
      </c>
      <c r="N43" s="82">
        <f>SUM(N23:N32,N34:N41,N8:N21)</f>
        <v>352</v>
      </c>
      <c r="O43" s="83">
        <f>SUM(O34:O41,O23:O32,O8:O21)/32</f>
        <v>980.96875</v>
      </c>
      <c r="P43" s="84">
        <f>SUM(P34:P41,P23:P32,P8:P21)</f>
        <v>302</v>
      </c>
      <c r="Q43" s="85">
        <f>SUM(Q34:Q41,Q23:Q32,Q8:Q21)</f>
        <v>65</v>
      </c>
      <c r="R43" s="82">
        <f>SUM(R34:R41,R23:R32,R8:R21)/32</f>
        <v>151.5625</v>
      </c>
      <c r="S43" s="86">
        <f>SUM(S34:S41,S23:S32,S8:S21)/32</f>
        <v>114.40625</v>
      </c>
      <c r="T43" s="108">
        <f>SUM(T42,T33,T22)</f>
        <v>229</v>
      </c>
    </row>
  </sheetData>
  <mergeCells count="4">
    <mergeCell ref="F6:I6"/>
    <mergeCell ref="J6:L6"/>
    <mergeCell ref="M6:O6"/>
    <mergeCell ref="P6:S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AJ84"/>
  <sheetViews>
    <sheetView zoomScale="40" zoomScaleNormal="40" workbookViewId="0">
      <selection activeCell="X59" sqref="X59"/>
    </sheetView>
  </sheetViews>
  <sheetFormatPr defaultRowHeight="15" x14ac:dyDescent="0.25"/>
  <cols>
    <col min="4" max="4" width="12.42578125" customWidth="1"/>
    <col min="5" max="5" width="10.5703125" customWidth="1"/>
    <col min="6" max="6" width="16" customWidth="1"/>
    <col min="7" max="7" width="19" customWidth="1"/>
    <col min="8" max="8" width="23.5703125" customWidth="1"/>
    <col min="9" max="9" width="21.140625" customWidth="1"/>
    <col min="10" max="10" width="13.42578125" customWidth="1"/>
    <col min="11" max="11" width="14.140625" customWidth="1"/>
    <col min="12" max="12" width="23.7109375" customWidth="1"/>
    <col min="13" max="13" width="12.5703125" customWidth="1"/>
    <col min="14" max="14" width="9.42578125" customWidth="1"/>
    <col min="15" max="15" width="9.7109375" customWidth="1"/>
    <col min="16" max="16" width="17" customWidth="1"/>
    <col min="17" max="17" width="12.42578125" customWidth="1"/>
    <col min="18" max="18" width="20.140625" customWidth="1"/>
    <col min="21" max="21" width="10.28515625" customWidth="1"/>
    <col min="22" max="22" width="13.7109375" customWidth="1"/>
    <col min="23" max="23" width="12.140625" customWidth="1"/>
    <col min="24" max="24" width="18.140625" customWidth="1"/>
    <col min="28" max="28" width="17.140625" customWidth="1"/>
    <col min="29" max="29" width="13.5703125" customWidth="1"/>
    <col min="30" max="30" width="18.42578125" customWidth="1"/>
    <col min="34" max="34" width="16.5703125" customWidth="1"/>
    <col min="35" max="35" width="13" customWidth="1"/>
    <col min="36" max="36" width="20.28515625" customWidth="1"/>
  </cols>
  <sheetData>
    <row r="2" spans="4:36" ht="15.75" thickBot="1" x14ac:dyDescent="0.3"/>
    <row r="3" spans="4:36" ht="15.75" thickBot="1" x14ac:dyDescent="0.3">
      <c r="D3" s="123" t="s">
        <v>1</v>
      </c>
      <c r="E3" s="235" t="s">
        <v>91</v>
      </c>
      <c r="F3" s="235"/>
      <c r="G3" s="235"/>
      <c r="H3" s="236"/>
      <c r="I3" s="237" t="s">
        <v>145</v>
      </c>
      <c r="J3" s="235"/>
      <c r="K3" s="235"/>
      <c r="L3" s="236"/>
      <c r="N3" s="234" t="s">
        <v>53</v>
      </c>
      <c r="O3" s="234"/>
      <c r="P3" s="234"/>
      <c r="Q3" s="234"/>
      <c r="R3" s="234"/>
      <c r="T3" s="234" t="s">
        <v>92</v>
      </c>
      <c r="U3" s="234"/>
      <c r="V3" s="234"/>
      <c r="W3" s="234"/>
      <c r="X3" s="234"/>
      <c r="Z3" s="234" t="s">
        <v>89</v>
      </c>
      <c r="AA3" s="234"/>
      <c r="AB3" s="234"/>
      <c r="AC3" s="234"/>
      <c r="AD3" s="234"/>
      <c r="AF3" s="234" t="s">
        <v>94</v>
      </c>
      <c r="AG3" s="234"/>
      <c r="AH3" s="234"/>
      <c r="AI3" s="234"/>
      <c r="AJ3" s="234"/>
    </row>
    <row r="4" spans="4:36" ht="15.75" thickBot="1" x14ac:dyDescent="0.3">
      <c r="D4" s="102"/>
      <c r="E4" s="113" t="s">
        <v>53</v>
      </c>
      <c r="F4" s="114" t="s">
        <v>90</v>
      </c>
      <c r="G4" s="115" t="s">
        <v>89</v>
      </c>
      <c r="H4" s="116" t="s">
        <v>86</v>
      </c>
      <c r="I4" s="121" t="s">
        <v>53</v>
      </c>
      <c r="J4" s="114" t="s">
        <v>90</v>
      </c>
      <c r="K4" s="115" t="s">
        <v>89</v>
      </c>
      <c r="L4" s="116" t="s">
        <v>86</v>
      </c>
      <c r="N4" s="124" t="s">
        <v>1</v>
      </c>
      <c r="O4" s="126" t="s">
        <v>91</v>
      </c>
      <c r="P4" s="127" t="s">
        <v>93</v>
      </c>
      <c r="Q4" s="128" t="s">
        <v>145</v>
      </c>
      <c r="R4" s="129" t="s">
        <v>146</v>
      </c>
      <c r="T4" s="124" t="s">
        <v>1</v>
      </c>
      <c r="U4" s="126" t="s">
        <v>91</v>
      </c>
      <c r="V4" s="127" t="s">
        <v>93</v>
      </c>
      <c r="W4" s="128" t="s">
        <v>145</v>
      </c>
      <c r="X4" s="129" t="s">
        <v>146</v>
      </c>
      <c r="Z4" s="124" t="s">
        <v>1</v>
      </c>
      <c r="AA4" s="126" t="s">
        <v>91</v>
      </c>
      <c r="AB4" s="127" t="s">
        <v>93</v>
      </c>
      <c r="AC4" s="128" t="s">
        <v>145</v>
      </c>
      <c r="AD4" s="129" t="s">
        <v>146</v>
      </c>
      <c r="AF4" s="124" t="s">
        <v>1</v>
      </c>
      <c r="AG4" s="126" t="s">
        <v>91</v>
      </c>
      <c r="AH4" s="127" t="s">
        <v>93</v>
      </c>
      <c r="AI4" s="128" t="s">
        <v>145</v>
      </c>
      <c r="AJ4" s="129" t="s">
        <v>146</v>
      </c>
    </row>
    <row r="5" spans="4:36" x14ac:dyDescent="0.25">
      <c r="D5" s="102" t="s">
        <v>4</v>
      </c>
      <c r="E5" s="91">
        <v>3</v>
      </c>
      <c r="F5" s="91">
        <v>8</v>
      </c>
      <c r="G5" s="91">
        <v>1</v>
      </c>
      <c r="H5" s="95">
        <v>2</v>
      </c>
      <c r="I5" s="9">
        <v>3</v>
      </c>
      <c r="J5" s="91">
        <v>8</v>
      </c>
      <c r="K5" s="91">
        <v>1</v>
      </c>
      <c r="L5" s="95">
        <v>2</v>
      </c>
      <c r="N5" s="9" t="s">
        <v>4</v>
      </c>
      <c r="O5" s="110">
        <v>3</v>
      </c>
      <c r="P5" s="125">
        <f>AVERAGE(O5:O18)</f>
        <v>4.3571428571428568</v>
      </c>
      <c r="Q5" s="91">
        <v>3</v>
      </c>
      <c r="R5" s="95">
        <f>AVERAGE(Q5:Q36)</f>
        <v>6.6875</v>
      </c>
      <c r="T5" s="9" t="s">
        <v>4</v>
      </c>
      <c r="U5" s="110">
        <v>8</v>
      </c>
      <c r="V5" s="125">
        <f>AVERAGE(U5:U18)</f>
        <v>9.9285714285714288</v>
      </c>
      <c r="W5" s="91">
        <v>8</v>
      </c>
      <c r="X5" s="95">
        <f>AVERAGE(W5:W36)</f>
        <v>14.6875</v>
      </c>
      <c r="Z5" s="101" t="s">
        <v>4</v>
      </c>
      <c r="AA5" s="91">
        <v>1</v>
      </c>
      <c r="AB5" s="125">
        <f>AVERAGE(AA5:AA18)</f>
        <v>2.6428571428571428</v>
      </c>
      <c r="AC5" s="91">
        <v>1</v>
      </c>
      <c r="AD5" s="95">
        <f>AVERAGE(AC5:AC36)</f>
        <v>3.4375</v>
      </c>
      <c r="AF5" s="101" t="s">
        <v>4</v>
      </c>
      <c r="AG5" s="91">
        <v>2</v>
      </c>
      <c r="AH5" s="95">
        <f>AVERAGE(AG5:AG18)</f>
        <v>2.1853846153846153</v>
      </c>
      <c r="AI5" s="95">
        <v>2</v>
      </c>
      <c r="AJ5" s="101">
        <f>AVERAGE(AI5:AI36)</f>
        <v>2.5683870967741926</v>
      </c>
    </row>
    <row r="6" spans="4:36" x14ac:dyDescent="0.25">
      <c r="D6" s="102" t="s">
        <v>5</v>
      </c>
      <c r="E6" s="91">
        <v>3</v>
      </c>
      <c r="F6" s="91">
        <v>7</v>
      </c>
      <c r="G6" s="91">
        <v>2</v>
      </c>
      <c r="H6" s="95">
        <v>2</v>
      </c>
      <c r="I6" s="9">
        <v>3</v>
      </c>
      <c r="J6" s="91">
        <v>7</v>
      </c>
      <c r="K6" s="91">
        <v>2</v>
      </c>
      <c r="L6" s="95">
        <v>2</v>
      </c>
      <c r="N6" s="9" t="s">
        <v>5</v>
      </c>
      <c r="O6" s="9">
        <v>3</v>
      </c>
      <c r="P6" s="95">
        <v>4.3571428571428568</v>
      </c>
      <c r="Q6" s="91">
        <v>3</v>
      </c>
      <c r="R6" s="95">
        <v>6.6875</v>
      </c>
      <c r="T6" s="9" t="s">
        <v>5</v>
      </c>
      <c r="U6" s="9">
        <v>7</v>
      </c>
      <c r="V6" s="95">
        <v>9.9285714285714288</v>
      </c>
      <c r="W6" s="91">
        <v>7</v>
      </c>
      <c r="X6" s="95">
        <v>14.6875</v>
      </c>
      <c r="Z6" s="102" t="s">
        <v>5</v>
      </c>
      <c r="AA6" s="91">
        <v>2</v>
      </c>
      <c r="AB6" s="95">
        <v>2.6428571428571428</v>
      </c>
      <c r="AC6" s="91">
        <v>2</v>
      </c>
      <c r="AD6" s="95">
        <v>3.5</v>
      </c>
      <c r="AF6" s="102" t="s">
        <v>5</v>
      </c>
      <c r="AG6" s="91">
        <v>2</v>
      </c>
      <c r="AH6" s="95">
        <v>2.1853846153846153</v>
      </c>
      <c r="AI6" s="95">
        <v>2</v>
      </c>
      <c r="AJ6" s="102">
        <v>2.5583870967741928</v>
      </c>
    </row>
    <row r="7" spans="4:36" x14ac:dyDescent="0.25">
      <c r="D7" s="102" t="s">
        <v>6</v>
      </c>
      <c r="E7" s="91">
        <v>5</v>
      </c>
      <c r="F7" s="91">
        <v>11</v>
      </c>
      <c r="G7" s="91">
        <v>2</v>
      </c>
      <c r="H7" s="95">
        <v>3</v>
      </c>
      <c r="I7" s="9">
        <v>5</v>
      </c>
      <c r="J7" s="91">
        <v>11</v>
      </c>
      <c r="K7" s="91">
        <v>2</v>
      </c>
      <c r="L7" s="95">
        <v>3</v>
      </c>
      <c r="N7" s="9" t="s">
        <v>6</v>
      </c>
      <c r="O7" s="9">
        <v>5</v>
      </c>
      <c r="P7" s="95">
        <v>4.3571428571428568</v>
      </c>
      <c r="Q7" s="91">
        <v>5</v>
      </c>
      <c r="R7" s="95">
        <f>R6</f>
        <v>6.6875</v>
      </c>
      <c r="T7" s="9" t="s">
        <v>6</v>
      </c>
      <c r="U7" s="9">
        <v>11</v>
      </c>
      <c r="V7" s="95">
        <v>9.9285714285714288</v>
      </c>
      <c r="W7" s="91">
        <v>11</v>
      </c>
      <c r="X7" s="95">
        <v>14.6875</v>
      </c>
      <c r="Z7" s="102" t="s">
        <v>6</v>
      </c>
      <c r="AA7" s="91">
        <v>2</v>
      </c>
      <c r="AB7" s="95">
        <v>2.6428571428571428</v>
      </c>
      <c r="AC7" s="91">
        <v>2</v>
      </c>
      <c r="AD7" s="95">
        <f>AD6</f>
        <v>3.5</v>
      </c>
      <c r="AF7" s="102" t="s">
        <v>6</v>
      </c>
      <c r="AG7" s="91">
        <v>3</v>
      </c>
      <c r="AH7" s="95">
        <v>2.1853846153846153</v>
      </c>
      <c r="AI7" s="95">
        <v>3</v>
      </c>
      <c r="AJ7" s="102">
        <v>2.5583870967741928</v>
      </c>
    </row>
    <row r="8" spans="4:36" x14ac:dyDescent="0.25">
      <c r="D8" s="102" t="s">
        <v>7</v>
      </c>
      <c r="E8" s="91">
        <v>5</v>
      </c>
      <c r="F8" s="91">
        <v>10</v>
      </c>
      <c r="G8" s="91">
        <v>5</v>
      </c>
      <c r="H8" s="95">
        <v>2</v>
      </c>
      <c r="I8" s="9">
        <v>5</v>
      </c>
      <c r="J8" s="91">
        <v>10</v>
      </c>
      <c r="K8" s="91">
        <v>5</v>
      </c>
      <c r="L8" s="95">
        <v>2</v>
      </c>
      <c r="N8" s="9" t="s">
        <v>7</v>
      </c>
      <c r="O8" s="9">
        <v>5</v>
      </c>
      <c r="P8" s="95">
        <v>4.3571428571428568</v>
      </c>
      <c r="Q8" s="91">
        <v>5</v>
      </c>
      <c r="R8" s="95">
        <f>R7</f>
        <v>6.6875</v>
      </c>
      <c r="T8" s="9" t="s">
        <v>7</v>
      </c>
      <c r="U8" s="9">
        <v>10</v>
      </c>
      <c r="V8" s="95">
        <v>9.9285714285714288</v>
      </c>
      <c r="W8" s="91">
        <v>10</v>
      </c>
      <c r="X8" s="95">
        <v>14.6875</v>
      </c>
      <c r="Z8" s="102" t="s">
        <v>7</v>
      </c>
      <c r="AA8" s="91">
        <v>5</v>
      </c>
      <c r="AB8" s="95">
        <v>2.6428571428571428</v>
      </c>
      <c r="AC8" s="91">
        <v>5</v>
      </c>
      <c r="AD8" s="95">
        <f>AD7</f>
        <v>3.5</v>
      </c>
      <c r="AF8" s="102" t="s">
        <v>7</v>
      </c>
      <c r="AG8" s="91">
        <v>2</v>
      </c>
      <c r="AH8" s="95">
        <v>2.1853846153846153</v>
      </c>
      <c r="AI8" s="95">
        <v>2</v>
      </c>
      <c r="AJ8" s="102">
        <v>2.5583870967741928</v>
      </c>
    </row>
    <row r="9" spans="4:36" x14ac:dyDescent="0.25">
      <c r="D9" s="102" t="s">
        <v>8</v>
      </c>
      <c r="E9" s="91">
        <v>4</v>
      </c>
      <c r="F9" s="91">
        <v>9</v>
      </c>
      <c r="G9" s="91">
        <v>3</v>
      </c>
      <c r="H9" s="95">
        <v>2</v>
      </c>
      <c r="I9" s="9">
        <v>4</v>
      </c>
      <c r="J9" s="91">
        <v>9</v>
      </c>
      <c r="K9" s="91">
        <v>3</v>
      </c>
      <c r="L9" s="95">
        <v>2</v>
      </c>
      <c r="N9" s="9" t="s">
        <v>8</v>
      </c>
      <c r="O9" s="9">
        <v>4</v>
      </c>
      <c r="P9" s="95">
        <v>4.3571428571428568</v>
      </c>
      <c r="Q9" s="91">
        <v>4</v>
      </c>
      <c r="R9" s="95">
        <f>R8</f>
        <v>6.6875</v>
      </c>
      <c r="T9" s="9" t="s">
        <v>8</v>
      </c>
      <c r="U9" s="9">
        <v>9</v>
      </c>
      <c r="V9" s="95">
        <v>9.9285714285714288</v>
      </c>
      <c r="W9" s="91">
        <v>9</v>
      </c>
      <c r="X9" s="95">
        <v>14.6875</v>
      </c>
      <c r="Z9" s="102" t="s">
        <v>8</v>
      </c>
      <c r="AA9" s="91">
        <v>3</v>
      </c>
      <c r="AB9" s="95">
        <v>2.6428571428571428</v>
      </c>
      <c r="AC9" s="91">
        <v>3</v>
      </c>
      <c r="AD9" s="95">
        <f>AD8</f>
        <v>3.5</v>
      </c>
      <c r="AF9" s="102" t="s">
        <v>8</v>
      </c>
      <c r="AG9" s="91">
        <v>2</v>
      </c>
      <c r="AH9" s="95">
        <v>2.1853846153846153</v>
      </c>
      <c r="AI9" s="95">
        <v>2</v>
      </c>
      <c r="AJ9" s="102">
        <v>2.5583870967741928</v>
      </c>
    </row>
    <row r="10" spans="4:36" x14ac:dyDescent="0.25">
      <c r="D10" s="102" t="s">
        <v>9</v>
      </c>
      <c r="E10" s="91">
        <v>4</v>
      </c>
      <c r="F10" s="91">
        <v>9</v>
      </c>
      <c r="G10" s="91">
        <v>3</v>
      </c>
      <c r="H10" s="95">
        <v>2</v>
      </c>
      <c r="I10" s="9">
        <v>4</v>
      </c>
      <c r="J10" s="91">
        <v>9</v>
      </c>
      <c r="K10" s="91">
        <v>3</v>
      </c>
      <c r="L10" s="95">
        <v>2</v>
      </c>
      <c r="N10" s="9" t="s">
        <v>9</v>
      </c>
      <c r="O10" s="9">
        <v>4</v>
      </c>
      <c r="P10" s="95">
        <v>4.3571428571428568</v>
      </c>
      <c r="Q10" s="91">
        <v>4</v>
      </c>
      <c r="R10" s="95">
        <f t="shared" ref="R10:R36" si="0">R9</f>
        <v>6.6875</v>
      </c>
      <c r="T10" s="9" t="s">
        <v>9</v>
      </c>
      <c r="U10" s="9">
        <v>9</v>
      </c>
      <c r="V10" s="95">
        <v>9.9285714285714288</v>
      </c>
      <c r="W10" s="91">
        <v>9</v>
      </c>
      <c r="X10" s="95">
        <v>14.6875</v>
      </c>
      <c r="Z10" s="102" t="s">
        <v>9</v>
      </c>
      <c r="AA10" s="91">
        <v>3</v>
      </c>
      <c r="AB10" s="95">
        <v>2.6428571428571428</v>
      </c>
      <c r="AC10" s="91">
        <v>3</v>
      </c>
      <c r="AD10" s="95">
        <f t="shared" ref="AD10:AD36" si="1">AD9</f>
        <v>3.5</v>
      </c>
      <c r="AF10" s="102" t="s">
        <v>9</v>
      </c>
      <c r="AG10" s="91">
        <v>2</v>
      </c>
      <c r="AH10" s="95">
        <v>2.1853846153846153</v>
      </c>
      <c r="AI10" s="95">
        <v>2</v>
      </c>
      <c r="AJ10" s="102">
        <v>2.5583870967741928</v>
      </c>
    </row>
    <row r="11" spans="4:36" x14ac:dyDescent="0.25">
      <c r="D11" s="102" t="s">
        <v>10</v>
      </c>
      <c r="E11" s="91">
        <v>4</v>
      </c>
      <c r="F11" s="91">
        <v>9</v>
      </c>
      <c r="G11" s="91">
        <v>3</v>
      </c>
      <c r="H11" s="95">
        <v>2</v>
      </c>
      <c r="I11" s="9">
        <v>4</v>
      </c>
      <c r="J11" s="91">
        <v>9</v>
      </c>
      <c r="K11" s="91">
        <v>3</v>
      </c>
      <c r="L11" s="95">
        <v>2</v>
      </c>
      <c r="N11" s="9" t="s">
        <v>10</v>
      </c>
      <c r="O11" s="9">
        <v>4</v>
      </c>
      <c r="P11" s="95">
        <v>4.3571428571428568</v>
      </c>
      <c r="Q11" s="91">
        <v>4</v>
      </c>
      <c r="R11" s="95">
        <f t="shared" si="0"/>
        <v>6.6875</v>
      </c>
      <c r="T11" s="9" t="s">
        <v>10</v>
      </c>
      <c r="U11" s="9">
        <v>9</v>
      </c>
      <c r="V11" s="95">
        <v>9.9285714285714288</v>
      </c>
      <c r="W11" s="91">
        <v>9</v>
      </c>
      <c r="X11" s="95">
        <v>14.6875</v>
      </c>
      <c r="Z11" s="102" t="s">
        <v>10</v>
      </c>
      <c r="AA11" s="91">
        <v>3</v>
      </c>
      <c r="AB11" s="95">
        <v>2.6428571428571428</v>
      </c>
      <c r="AC11" s="91">
        <v>3</v>
      </c>
      <c r="AD11" s="95">
        <f t="shared" si="1"/>
        <v>3.5</v>
      </c>
      <c r="AF11" s="102" t="s">
        <v>10</v>
      </c>
      <c r="AG11" s="91">
        <v>2</v>
      </c>
      <c r="AH11" s="95">
        <v>2.1853846153846153</v>
      </c>
      <c r="AI11" s="95">
        <v>2</v>
      </c>
      <c r="AJ11" s="102">
        <v>2.5583870967741928</v>
      </c>
    </row>
    <row r="12" spans="4:36" x14ac:dyDescent="0.25">
      <c r="D12" s="102" t="s">
        <v>11</v>
      </c>
      <c r="E12" s="91">
        <v>2</v>
      </c>
      <c r="F12" s="91">
        <v>6</v>
      </c>
      <c r="G12" s="91">
        <v>0</v>
      </c>
      <c r="H12" s="117" t="s">
        <v>67</v>
      </c>
      <c r="I12" s="9">
        <v>2</v>
      </c>
      <c r="J12" s="91">
        <v>6</v>
      </c>
      <c r="K12" s="91">
        <v>0</v>
      </c>
      <c r="L12" s="117" t="s">
        <v>67</v>
      </c>
      <c r="N12" s="9" t="s">
        <v>11</v>
      </c>
      <c r="O12" s="9">
        <v>2</v>
      </c>
      <c r="P12" s="95">
        <v>4.3571428571428568</v>
      </c>
      <c r="Q12" s="91">
        <v>2</v>
      </c>
      <c r="R12" s="95">
        <f t="shared" si="0"/>
        <v>6.6875</v>
      </c>
      <c r="T12" s="9" t="s">
        <v>11</v>
      </c>
      <c r="U12" s="9">
        <v>6</v>
      </c>
      <c r="V12" s="95">
        <v>9.9285714285714288</v>
      </c>
      <c r="W12" s="91">
        <v>6</v>
      </c>
      <c r="X12" s="95">
        <v>14.6875</v>
      </c>
      <c r="Z12" s="102" t="s">
        <v>11</v>
      </c>
      <c r="AA12" s="91">
        <v>0</v>
      </c>
      <c r="AB12" s="95">
        <v>2.6428571428571428</v>
      </c>
      <c r="AC12" s="91">
        <v>0</v>
      </c>
      <c r="AD12" s="95">
        <f t="shared" si="1"/>
        <v>3.5</v>
      </c>
      <c r="AF12" s="102" t="s">
        <v>11</v>
      </c>
      <c r="AG12" s="93" t="s">
        <v>67</v>
      </c>
      <c r="AH12" s="95">
        <v>2.1853846153846153</v>
      </c>
      <c r="AI12" s="117" t="s">
        <v>67</v>
      </c>
      <c r="AJ12" s="102">
        <v>2.5583870967741928</v>
      </c>
    </row>
    <row r="13" spans="4:36" x14ac:dyDescent="0.25">
      <c r="D13" s="102" t="s">
        <v>12</v>
      </c>
      <c r="E13" s="91">
        <v>3</v>
      </c>
      <c r="F13" s="91">
        <v>8</v>
      </c>
      <c r="G13" s="91">
        <v>1</v>
      </c>
      <c r="H13" s="95">
        <v>2</v>
      </c>
      <c r="I13" s="9">
        <v>3</v>
      </c>
      <c r="J13" s="91">
        <v>8</v>
      </c>
      <c r="K13" s="91">
        <v>1</v>
      </c>
      <c r="L13" s="95">
        <v>2</v>
      </c>
      <c r="N13" s="9" t="s">
        <v>12</v>
      </c>
      <c r="O13" s="9">
        <v>3</v>
      </c>
      <c r="P13" s="95">
        <v>4.3571428571428568</v>
      </c>
      <c r="Q13" s="91">
        <v>3</v>
      </c>
      <c r="R13" s="95">
        <f t="shared" si="0"/>
        <v>6.6875</v>
      </c>
      <c r="T13" s="9" t="s">
        <v>12</v>
      </c>
      <c r="U13" s="9">
        <v>8</v>
      </c>
      <c r="V13" s="95">
        <v>9.9285714285714288</v>
      </c>
      <c r="W13" s="91">
        <v>8</v>
      </c>
      <c r="X13" s="95">
        <v>14.6875</v>
      </c>
      <c r="Z13" s="102" t="s">
        <v>12</v>
      </c>
      <c r="AA13" s="91">
        <v>1</v>
      </c>
      <c r="AB13" s="95">
        <v>2.6428571428571428</v>
      </c>
      <c r="AC13" s="91">
        <v>1</v>
      </c>
      <c r="AD13" s="95">
        <f t="shared" si="1"/>
        <v>3.5</v>
      </c>
      <c r="AF13" s="102" t="s">
        <v>12</v>
      </c>
      <c r="AG13" s="91">
        <v>2</v>
      </c>
      <c r="AH13" s="95">
        <v>2.1853846153846153</v>
      </c>
      <c r="AI13" s="95">
        <v>2</v>
      </c>
      <c r="AJ13" s="102">
        <v>2.5583870967741928</v>
      </c>
    </row>
    <row r="14" spans="4:36" x14ac:dyDescent="0.25">
      <c r="D14" s="102" t="s">
        <v>13</v>
      </c>
      <c r="E14" s="91">
        <v>5</v>
      </c>
      <c r="F14" s="91">
        <v>11</v>
      </c>
      <c r="G14" s="91">
        <v>3</v>
      </c>
      <c r="H14" s="95">
        <v>2.33</v>
      </c>
      <c r="I14" s="9">
        <v>5</v>
      </c>
      <c r="J14" s="91">
        <v>11</v>
      </c>
      <c r="K14" s="91">
        <v>3</v>
      </c>
      <c r="L14" s="95">
        <v>2.33</v>
      </c>
      <c r="N14" s="9" t="s">
        <v>13</v>
      </c>
      <c r="O14" s="9">
        <v>5</v>
      </c>
      <c r="P14" s="95">
        <v>4.3571428571428568</v>
      </c>
      <c r="Q14" s="91">
        <v>5</v>
      </c>
      <c r="R14" s="95">
        <f t="shared" si="0"/>
        <v>6.6875</v>
      </c>
      <c r="T14" s="9" t="s">
        <v>13</v>
      </c>
      <c r="U14" s="9">
        <v>11</v>
      </c>
      <c r="V14" s="95">
        <v>9.9285714285714288</v>
      </c>
      <c r="W14" s="91">
        <v>11</v>
      </c>
      <c r="X14" s="95">
        <v>14.6875</v>
      </c>
      <c r="Z14" s="102" t="s">
        <v>13</v>
      </c>
      <c r="AA14" s="91">
        <v>3</v>
      </c>
      <c r="AB14" s="95">
        <v>2.6428571428571428</v>
      </c>
      <c r="AC14" s="91">
        <v>3</v>
      </c>
      <c r="AD14" s="95">
        <f t="shared" si="1"/>
        <v>3.5</v>
      </c>
      <c r="AF14" s="102" t="s">
        <v>13</v>
      </c>
      <c r="AG14" s="91">
        <v>2.33</v>
      </c>
      <c r="AH14" s="95">
        <v>2.1853846153846153</v>
      </c>
      <c r="AI14" s="95">
        <v>2.33</v>
      </c>
      <c r="AJ14" s="102">
        <v>2.5583870967741928</v>
      </c>
    </row>
    <row r="15" spans="4:36" x14ac:dyDescent="0.25">
      <c r="D15" s="102" t="s">
        <v>14</v>
      </c>
      <c r="E15" s="91">
        <v>7</v>
      </c>
      <c r="F15" s="91">
        <v>15</v>
      </c>
      <c r="G15" s="91">
        <v>4</v>
      </c>
      <c r="H15" s="95">
        <v>2.5</v>
      </c>
      <c r="I15" s="9">
        <v>7</v>
      </c>
      <c r="J15" s="91">
        <v>15</v>
      </c>
      <c r="K15" s="91">
        <v>4</v>
      </c>
      <c r="L15" s="95">
        <v>2.5</v>
      </c>
      <c r="N15" s="9" t="s">
        <v>14</v>
      </c>
      <c r="O15" s="9">
        <v>7</v>
      </c>
      <c r="P15" s="95">
        <v>4.3571428571428568</v>
      </c>
      <c r="Q15" s="91">
        <v>7</v>
      </c>
      <c r="R15" s="95">
        <f t="shared" si="0"/>
        <v>6.6875</v>
      </c>
      <c r="T15" s="9" t="s">
        <v>14</v>
      </c>
      <c r="U15" s="9">
        <v>15</v>
      </c>
      <c r="V15" s="95">
        <v>9.9285714285714288</v>
      </c>
      <c r="W15" s="91">
        <v>15</v>
      </c>
      <c r="X15" s="95">
        <v>14.6875</v>
      </c>
      <c r="Z15" s="102" t="s">
        <v>14</v>
      </c>
      <c r="AA15" s="91">
        <v>4</v>
      </c>
      <c r="AB15" s="95">
        <v>2.6428571428571428</v>
      </c>
      <c r="AC15" s="91">
        <v>4</v>
      </c>
      <c r="AD15" s="95">
        <f t="shared" si="1"/>
        <v>3.5</v>
      </c>
      <c r="AF15" s="102" t="s">
        <v>14</v>
      </c>
      <c r="AG15" s="91">
        <v>2.5</v>
      </c>
      <c r="AH15" s="95">
        <v>2.1853846153846153</v>
      </c>
      <c r="AI15" s="95">
        <v>2.5</v>
      </c>
      <c r="AJ15" s="102">
        <v>2.5583870967741928</v>
      </c>
    </row>
    <row r="16" spans="4:36" x14ac:dyDescent="0.25">
      <c r="D16" s="102" t="s">
        <v>15</v>
      </c>
      <c r="E16" s="91">
        <v>6</v>
      </c>
      <c r="F16" s="91">
        <v>13</v>
      </c>
      <c r="G16" s="91">
        <v>4</v>
      </c>
      <c r="H16" s="95">
        <v>2.25</v>
      </c>
      <c r="I16" s="9">
        <v>6</v>
      </c>
      <c r="J16" s="91">
        <v>13</v>
      </c>
      <c r="K16" s="91">
        <v>4</v>
      </c>
      <c r="L16" s="95">
        <v>2.25</v>
      </c>
      <c r="N16" s="9" t="s">
        <v>15</v>
      </c>
      <c r="O16" s="9">
        <v>6</v>
      </c>
      <c r="P16" s="95">
        <v>4.3571428571428568</v>
      </c>
      <c r="Q16" s="91">
        <v>6</v>
      </c>
      <c r="R16" s="95">
        <f t="shared" si="0"/>
        <v>6.6875</v>
      </c>
      <c r="T16" s="9" t="s">
        <v>15</v>
      </c>
      <c r="U16" s="9">
        <v>13</v>
      </c>
      <c r="V16" s="95">
        <v>9.9285714285714288</v>
      </c>
      <c r="W16" s="91">
        <v>13</v>
      </c>
      <c r="X16" s="95">
        <v>14.6875</v>
      </c>
      <c r="Z16" s="102" t="s">
        <v>15</v>
      </c>
      <c r="AA16" s="91">
        <v>4</v>
      </c>
      <c r="AB16" s="95">
        <v>2.6428571428571428</v>
      </c>
      <c r="AC16" s="91">
        <v>4</v>
      </c>
      <c r="AD16" s="95">
        <f t="shared" si="1"/>
        <v>3.5</v>
      </c>
      <c r="AF16" s="102" t="s">
        <v>15</v>
      </c>
      <c r="AG16" s="91">
        <v>2.25</v>
      </c>
      <c r="AH16" s="95">
        <v>2.1853846153846153</v>
      </c>
      <c r="AI16" s="95">
        <v>2.25</v>
      </c>
      <c r="AJ16" s="102">
        <v>2.5583870967741928</v>
      </c>
    </row>
    <row r="17" spans="4:36" x14ac:dyDescent="0.25">
      <c r="D17" s="102" t="s">
        <v>16</v>
      </c>
      <c r="E17" s="91">
        <v>5</v>
      </c>
      <c r="F17" s="91">
        <v>11</v>
      </c>
      <c r="G17" s="91">
        <v>3</v>
      </c>
      <c r="H17" s="95">
        <v>2.33</v>
      </c>
      <c r="I17" s="9">
        <v>5</v>
      </c>
      <c r="J17" s="91">
        <v>11</v>
      </c>
      <c r="K17" s="91">
        <v>3</v>
      </c>
      <c r="L17" s="95">
        <v>2.33</v>
      </c>
      <c r="N17" s="9" t="s">
        <v>16</v>
      </c>
      <c r="O17" s="9">
        <v>5</v>
      </c>
      <c r="P17" s="95">
        <v>4.3571428571428568</v>
      </c>
      <c r="Q17" s="91">
        <v>5</v>
      </c>
      <c r="R17" s="95">
        <f t="shared" si="0"/>
        <v>6.6875</v>
      </c>
      <c r="T17" s="9" t="s">
        <v>16</v>
      </c>
      <c r="U17" s="9">
        <v>11</v>
      </c>
      <c r="V17" s="95">
        <v>9.9285714285714288</v>
      </c>
      <c r="W17" s="91">
        <v>11</v>
      </c>
      <c r="X17" s="95">
        <v>14.6875</v>
      </c>
      <c r="Z17" s="102" t="s">
        <v>16</v>
      </c>
      <c r="AA17" s="91">
        <v>3</v>
      </c>
      <c r="AB17" s="95">
        <v>2.6428571428571428</v>
      </c>
      <c r="AC17" s="91">
        <v>3</v>
      </c>
      <c r="AD17" s="95">
        <f t="shared" si="1"/>
        <v>3.5</v>
      </c>
      <c r="AF17" s="102" t="s">
        <v>16</v>
      </c>
      <c r="AG17" s="91">
        <v>2.33</v>
      </c>
      <c r="AH17" s="95">
        <v>2.1853846153846153</v>
      </c>
      <c r="AI17" s="95">
        <v>2.33</v>
      </c>
      <c r="AJ17" s="102">
        <v>2.5583870967741928</v>
      </c>
    </row>
    <row r="18" spans="4:36" x14ac:dyDescent="0.25">
      <c r="D18" s="102" t="s">
        <v>17</v>
      </c>
      <c r="E18" s="91">
        <v>5</v>
      </c>
      <c r="F18" s="91">
        <v>12</v>
      </c>
      <c r="G18" s="91">
        <v>3</v>
      </c>
      <c r="H18" s="95">
        <v>2</v>
      </c>
      <c r="I18" s="9">
        <v>5</v>
      </c>
      <c r="J18" s="91">
        <v>12</v>
      </c>
      <c r="K18" s="91">
        <v>3</v>
      </c>
      <c r="L18" s="95">
        <v>2</v>
      </c>
      <c r="N18" s="9" t="s">
        <v>17</v>
      </c>
      <c r="O18" s="9">
        <v>5</v>
      </c>
      <c r="P18" s="95">
        <v>4.3571428571428568</v>
      </c>
      <c r="Q18" s="91">
        <v>5</v>
      </c>
      <c r="R18" s="95">
        <f t="shared" si="0"/>
        <v>6.6875</v>
      </c>
      <c r="T18" s="9" t="s">
        <v>17</v>
      </c>
      <c r="U18" s="9">
        <v>12</v>
      </c>
      <c r="V18" s="95">
        <v>9.9285714285714288</v>
      </c>
      <c r="W18" s="91">
        <v>12</v>
      </c>
      <c r="X18" s="95">
        <v>14.6875</v>
      </c>
      <c r="Z18" s="102" t="s">
        <v>17</v>
      </c>
      <c r="AA18" s="91">
        <v>3</v>
      </c>
      <c r="AB18" s="95">
        <v>2.6428571428571428</v>
      </c>
      <c r="AC18" s="91">
        <v>3</v>
      </c>
      <c r="AD18" s="95">
        <f t="shared" si="1"/>
        <v>3.5</v>
      </c>
      <c r="AF18" s="102" t="s">
        <v>17</v>
      </c>
      <c r="AG18" s="91">
        <v>2</v>
      </c>
      <c r="AH18" s="95">
        <v>2.1853846153846153</v>
      </c>
      <c r="AI18" s="95">
        <v>2</v>
      </c>
      <c r="AJ18" s="102">
        <v>2.5583870967741928</v>
      </c>
    </row>
    <row r="19" spans="4:36" x14ac:dyDescent="0.25">
      <c r="D19" s="102" t="s">
        <v>23</v>
      </c>
      <c r="E19" s="91"/>
      <c r="F19" s="91"/>
      <c r="G19" s="91"/>
      <c r="H19" s="95"/>
      <c r="I19" s="9">
        <v>8</v>
      </c>
      <c r="J19" s="91">
        <v>18</v>
      </c>
      <c r="K19" s="91">
        <v>4</v>
      </c>
      <c r="L19" s="95">
        <v>2.5</v>
      </c>
      <c r="N19" s="9" t="s">
        <v>23</v>
      </c>
      <c r="O19" s="9"/>
      <c r="P19" s="95"/>
      <c r="Q19" s="91">
        <v>8</v>
      </c>
      <c r="R19" s="95">
        <f t="shared" si="0"/>
        <v>6.6875</v>
      </c>
      <c r="T19" s="9" t="s">
        <v>23</v>
      </c>
      <c r="U19" s="9"/>
      <c r="V19" s="95"/>
      <c r="W19" s="91">
        <v>18</v>
      </c>
      <c r="X19" s="95">
        <v>14.6875</v>
      </c>
      <c r="Z19" s="102" t="s">
        <v>23</v>
      </c>
      <c r="AA19" s="91"/>
      <c r="AB19" s="95"/>
      <c r="AC19" s="91">
        <v>4</v>
      </c>
      <c r="AD19" s="95">
        <f t="shared" si="1"/>
        <v>3.5</v>
      </c>
      <c r="AF19" s="102" t="s">
        <v>23</v>
      </c>
      <c r="AG19" s="91"/>
      <c r="AH19" s="95"/>
      <c r="AI19" s="95">
        <v>2.5</v>
      </c>
      <c r="AJ19" s="102">
        <v>2.5583870967741928</v>
      </c>
    </row>
    <row r="20" spans="4:36" x14ac:dyDescent="0.25">
      <c r="D20" s="102" t="s">
        <v>24</v>
      </c>
      <c r="E20" s="91"/>
      <c r="F20" s="91"/>
      <c r="G20" s="91"/>
      <c r="H20" s="95"/>
      <c r="I20" s="9">
        <v>8</v>
      </c>
      <c r="J20" s="91">
        <v>19</v>
      </c>
      <c r="K20" s="91">
        <v>4</v>
      </c>
      <c r="L20" s="95">
        <v>2.25</v>
      </c>
      <c r="N20" s="9" t="s">
        <v>24</v>
      </c>
      <c r="O20" s="9"/>
      <c r="P20" s="95"/>
      <c r="Q20" s="91">
        <v>8</v>
      </c>
      <c r="R20" s="95">
        <f t="shared" si="0"/>
        <v>6.6875</v>
      </c>
      <c r="T20" s="9" t="s">
        <v>24</v>
      </c>
      <c r="U20" s="9"/>
      <c r="V20" s="95"/>
      <c r="W20" s="91">
        <v>19</v>
      </c>
      <c r="X20" s="95">
        <v>14.6875</v>
      </c>
      <c r="Z20" s="102" t="s">
        <v>24</v>
      </c>
      <c r="AA20" s="91"/>
      <c r="AB20" s="95"/>
      <c r="AC20" s="91">
        <v>4</v>
      </c>
      <c r="AD20" s="95">
        <f t="shared" si="1"/>
        <v>3.5</v>
      </c>
      <c r="AF20" s="102" t="s">
        <v>24</v>
      </c>
      <c r="AG20" s="91"/>
      <c r="AH20" s="95"/>
      <c r="AI20" s="95">
        <v>2.25</v>
      </c>
      <c r="AJ20" s="102">
        <v>2.5583870967741928</v>
      </c>
    </row>
    <row r="21" spans="4:36" x14ac:dyDescent="0.25">
      <c r="D21" s="102" t="s">
        <v>25</v>
      </c>
      <c r="E21" s="91"/>
      <c r="F21" s="91"/>
      <c r="G21" s="91"/>
      <c r="H21" s="95"/>
      <c r="I21" s="9">
        <v>8</v>
      </c>
      <c r="J21" s="91">
        <v>18</v>
      </c>
      <c r="K21" s="91">
        <v>4</v>
      </c>
      <c r="L21" s="95">
        <v>2.5</v>
      </c>
      <c r="N21" s="9" t="s">
        <v>25</v>
      </c>
      <c r="O21" s="9"/>
      <c r="P21" s="95"/>
      <c r="Q21" s="91">
        <v>8</v>
      </c>
      <c r="R21" s="95">
        <f t="shared" si="0"/>
        <v>6.6875</v>
      </c>
      <c r="T21" s="9" t="s">
        <v>25</v>
      </c>
      <c r="U21" s="9"/>
      <c r="V21" s="95"/>
      <c r="W21" s="91">
        <v>18</v>
      </c>
      <c r="X21" s="95">
        <v>14.6875</v>
      </c>
      <c r="Z21" s="102" t="s">
        <v>25</v>
      </c>
      <c r="AA21" s="91"/>
      <c r="AB21" s="95"/>
      <c r="AC21" s="91">
        <v>4</v>
      </c>
      <c r="AD21" s="95">
        <f t="shared" si="1"/>
        <v>3.5</v>
      </c>
      <c r="AF21" s="102" t="s">
        <v>25</v>
      </c>
      <c r="AG21" s="91"/>
      <c r="AH21" s="95"/>
      <c r="AI21" s="95">
        <v>2.5</v>
      </c>
      <c r="AJ21" s="102">
        <v>2.5583870967741928</v>
      </c>
    </row>
    <row r="22" spans="4:36" x14ac:dyDescent="0.25">
      <c r="D22" s="102" t="s">
        <v>26</v>
      </c>
      <c r="E22" s="91"/>
      <c r="F22" s="91"/>
      <c r="G22" s="91"/>
      <c r="H22" s="95"/>
      <c r="I22" s="9">
        <v>12</v>
      </c>
      <c r="J22" s="91">
        <v>26</v>
      </c>
      <c r="K22" s="91">
        <v>2</v>
      </c>
      <c r="L22" s="95">
        <v>6</v>
      </c>
      <c r="N22" s="9" t="s">
        <v>26</v>
      </c>
      <c r="O22" s="9"/>
      <c r="P22" s="95"/>
      <c r="Q22" s="91">
        <v>12</v>
      </c>
      <c r="R22" s="95">
        <f t="shared" si="0"/>
        <v>6.6875</v>
      </c>
      <c r="T22" s="9" t="s">
        <v>26</v>
      </c>
      <c r="U22" s="9"/>
      <c r="V22" s="95"/>
      <c r="W22" s="91">
        <v>26</v>
      </c>
      <c r="X22" s="95">
        <v>14.6875</v>
      </c>
      <c r="Z22" s="102" t="s">
        <v>26</v>
      </c>
      <c r="AA22" s="91"/>
      <c r="AB22" s="95"/>
      <c r="AC22" s="91">
        <v>2</v>
      </c>
      <c r="AD22" s="95">
        <f t="shared" si="1"/>
        <v>3.5</v>
      </c>
      <c r="AF22" s="102" t="s">
        <v>26</v>
      </c>
      <c r="AG22" s="91"/>
      <c r="AH22" s="95"/>
      <c r="AI22" s="95">
        <v>6</v>
      </c>
      <c r="AJ22" s="102">
        <v>2.5583870967741928</v>
      </c>
    </row>
    <row r="23" spans="4:36" x14ac:dyDescent="0.25">
      <c r="D23" s="102" t="s">
        <v>27</v>
      </c>
      <c r="E23" s="91"/>
      <c r="F23" s="91"/>
      <c r="G23" s="91"/>
      <c r="H23" s="95"/>
      <c r="I23" s="9">
        <v>8</v>
      </c>
      <c r="J23" s="91">
        <v>17</v>
      </c>
      <c r="K23" s="91">
        <v>5</v>
      </c>
      <c r="L23" s="95">
        <v>2.4</v>
      </c>
      <c r="N23" s="9" t="s">
        <v>27</v>
      </c>
      <c r="O23" s="9"/>
      <c r="P23" s="95"/>
      <c r="Q23" s="91">
        <v>8</v>
      </c>
      <c r="R23" s="95">
        <f t="shared" si="0"/>
        <v>6.6875</v>
      </c>
      <c r="T23" s="9" t="s">
        <v>27</v>
      </c>
      <c r="U23" s="9"/>
      <c r="V23" s="95"/>
      <c r="W23" s="91">
        <v>17</v>
      </c>
      <c r="X23" s="95">
        <v>14.6875</v>
      </c>
      <c r="Z23" s="102" t="s">
        <v>27</v>
      </c>
      <c r="AA23" s="91"/>
      <c r="AB23" s="95"/>
      <c r="AC23" s="91">
        <v>5</v>
      </c>
      <c r="AD23" s="95">
        <f t="shared" si="1"/>
        <v>3.5</v>
      </c>
      <c r="AF23" s="102" t="s">
        <v>27</v>
      </c>
      <c r="AG23" s="91"/>
      <c r="AH23" s="95"/>
      <c r="AI23" s="95">
        <v>2.4</v>
      </c>
      <c r="AJ23" s="102">
        <v>2.5583870967741928</v>
      </c>
    </row>
    <row r="24" spans="4:36" x14ac:dyDescent="0.25">
      <c r="D24" s="102" t="s">
        <v>28</v>
      </c>
      <c r="E24" s="91"/>
      <c r="F24" s="91"/>
      <c r="G24" s="91"/>
      <c r="H24" s="95"/>
      <c r="I24" s="9">
        <v>9</v>
      </c>
      <c r="J24" s="91">
        <v>18</v>
      </c>
      <c r="K24" s="91">
        <v>5</v>
      </c>
      <c r="L24" s="95">
        <v>2.8</v>
      </c>
      <c r="N24" s="9" t="s">
        <v>28</v>
      </c>
      <c r="O24" s="9"/>
      <c r="P24" s="95"/>
      <c r="Q24" s="91">
        <v>9</v>
      </c>
      <c r="R24" s="95">
        <f t="shared" si="0"/>
        <v>6.6875</v>
      </c>
      <c r="T24" s="9" t="s">
        <v>28</v>
      </c>
      <c r="U24" s="9"/>
      <c r="V24" s="95"/>
      <c r="W24" s="91">
        <v>18</v>
      </c>
      <c r="X24" s="95">
        <v>14.6875</v>
      </c>
      <c r="Z24" s="102" t="s">
        <v>28</v>
      </c>
      <c r="AA24" s="91"/>
      <c r="AB24" s="95"/>
      <c r="AC24" s="91">
        <v>5</v>
      </c>
      <c r="AD24" s="95">
        <f t="shared" si="1"/>
        <v>3.5</v>
      </c>
      <c r="AF24" s="102" t="s">
        <v>28</v>
      </c>
      <c r="AG24" s="91"/>
      <c r="AH24" s="95"/>
      <c r="AI24" s="95">
        <v>2.8</v>
      </c>
      <c r="AJ24" s="102">
        <v>2.5583870967741928</v>
      </c>
    </row>
    <row r="25" spans="4:36" x14ac:dyDescent="0.25">
      <c r="D25" s="102" t="s">
        <v>29</v>
      </c>
      <c r="E25" s="91"/>
      <c r="F25" s="91"/>
      <c r="G25" s="91"/>
      <c r="H25" s="95"/>
      <c r="I25" s="9">
        <v>9</v>
      </c>
      <c r="J25" s="91">
        <v>19</v>
      </c>
      <c r="K25" s="91">
        <v>6</v>
      </c>
      <c r="L25" s="95">
        <v>2.33</v>
      </c>
      <c r="N25" s="9" t="s">
        <v>29</v>
      </c>
      <c r="O25" s="9"/>
      <c r="P25" s="95"/>
      <c r="Q25" s="91">
        <v>9</v>
      </c>
      <c r="R25" s="95">
        <f t="shared" si="0"/>
        <v>6.6875</v>
      </c>
      <c r="T25" s="9" t="s">
        <v>29</v>
      </c>
      <c r="U25" s="9"/>
      <c r="V25" s="95"/>
      <c r="W25" s="91">
        <v>19</v>
      </c>
      <c r="X25" s="95">
        <v>14.6875</v>
      </c>
      <c r="Z25" s="102" t="s">
        <v>29</v>
      </c>
      <c r="AA25" s="91"/>
      <c r="AB25" s="95"/>
      <c r="AC25" s="91">
        <v>6</v>
      </c>
      <c r="AD25" s="95">
        <f t="shared" si="1"/>
        <v>3.5</v>
      </c>
      <c r="AF25" s="102" t="s">
        <v>29</v>
      </c>
      <c r="AG25" s="91"/>
      <c r="AH25" s="95"/>
      <c r="AI25" s="95">
        <v>2.33</v>
      </c>
      <c r="AJ25" s="102">
        <v>2.5583870967741928</v>
      </c>
    </row>
    <row r="26" spans="4:36" x14ac:dyDescent="0.25">
      <c r="D26" s="102" t="s">
        <v>30</v>
      </c>
      <c r="E26" s="91"/>
      <c r="F26" s="91"/>
      <c r="G26" s="91"/>
      <c r="H26" s="95"/>
      <c r="I26" s="9">
        <v>11</v>
      </c>
      <c r="J26" s="91">
        <v>24</v>
      </c>
      <c r="K26" s="91">
        <v>4</v>
      </c>
      <c r="L26" s="95">
        <v>3.25</v>
      </c>
      <c r="N26" s="9" t="s">
        <v>30</v>
      </c>
      <c r="O26" s="9"/>
      <c r="P26" s="95"/>
      <c r="Q26" s="91">
        <v>11</v>
      </c>
      <c r="R26" s="95">
        <f t="shared" si="0"/>
        <v>6.6875</v>
      </c>
      <c r="T26" s="9" t="s">
        <v>30</v>
      </c>
      <c r="U26" s="9"/>
      <c r="V26" s="95"/>
      <c r="W26" s="91">
        <v>24</v>
      </c>
      <c r="X26" s="95">
        <v>14.6875</v>
      </c>
      <c r="Z26" s="102" t="s">
        <v>30</v>
      </c>
      <c r="AA26" s="91"/>
      <c r="AB26" s="95"/>
      <c r="AC26" s="91">
        <v>4</v>
      </c>
      <c r="AD26" s="95">
        <f t="shared" si="1"/>
        <v>3.5</v>
      </c>
      <c r="AF26" s="102" t="s">
        <v>30</v>
      </c>
      <c r="AG26" s="91"/>
      <c r="AH26" s="95"/>
      <c r="AI26" s="95">
        <v>3.25</v>
      </c>
      <c r="AJ26" s="102">
        <v>2.5583870967741928</v>
      </c>
    </row>
    <row r="27" spans="4:36" x14ac:dyDescent="0.25">
      <c r="D27" s="102" t="s">
        <v>31</v>
      </c>
      <c r="E27" s="91"/>
      <c r="F27" s="91"/>
      <c r="G27" s="91"/>
      <c r="H27" s="95"/>
      <c r="I27" s="9">
        <v>9</v>
      </c>
      <c r="J27" s="91">
        <v>20</v>
      </c>
      <c r="K27" s="91">
        <v>4</v>
      </c>
      <c r="L27" s="95">
        <v>2.75</v>
      </c>
      <c r="N27" s="9" t="s">
        <v>31</v>
      </c>
      <c r="O27" s="9"/>
      <c r="P27" s="95"/>
      <c r="Q27" s="91">
        <v>9</v>
      </c>
      <c r="R27" s="95">
        <f t="shared" si="0"/>
        <v>6.6875</v>
      </c>
      <c r="T27" s="9" t="s">
        <v>31</v>
      </c>
      <c r="U27" s="9"/>
      <c r="V27" s="95"/>
      <c r="W27" s="91">
        <v>20</v>
      </c>
      <c r="X27" s="95">
        <v>14.6875</v>
      </c>
      <c r="Z27" s="102" t="s">
        <v>31</v>
      </c>
      <c r="AA27" s="91"/>
      <c r="AB27" s="95"/>
      <c r="AC27" s="91">
        <v>4</v>
      </c>
      <c r="AD27" s="95">
        <f t="shared" si="1"/>
        <v>3.5</v>
      </c>
      <c r="AF27" s="102" t="s">
        <v>31</v>
      </c>
      <c r="AG27" s="91"/>
      <c r="AH27" s="95"/>
      <c r="AI27" s="95">
        <v>2.75</v>
      </c>
      <c r="AJ27" s="102">
        <v>2.5583870967741928</v>
      </c>
    </row>
    <row r="28" spans="4:36" x14ac:dyDescent="0.25">
      <c r="D28" s="102" t="s">
        <v>32</v>
      </c>
      <c r="E28" s="91"/>
      <c r="F28" s="91"/>
      <c r="G28" s="91"/>
      <c r="H28" s="95"/>
      <c r="I28" s="9">
        <v>10</v>
      </c>
      <c r="J28" s="91">
        <v>21</v>
      </c>
      <c r="K28" s="91">
        <v>5</v>
      </c>
      <c r="L28" s="95">
        <v>2.8</v>
      </c>
      <c r="N28" s="9" t="s">
        <v>32</v>
      </c>
      <c r="O28" s="9"/>
      <c r="P28" s="95"/>
      <c r="Q28" s="91">
        <v>10</v>
      </c>
      <c r="R28" s="95">
        <f t="shared" si="0"/>
        <v>6.6875</v>
      </c>
      <c r="T28" s="9" t="s">
        <v>32</v>
      </c>
      <c r="U28" s="9"/>
      <c r="V28" s="95"/>
      <c r="W28" s="91">
        <v>21</v>
      </c>
      <c r="X28" s="95">
        <v>14.6875</v>
      </c>
      <c r="Z28" s="102" t="s">
        <v>32</v>
      </c>
      <c r="AA28" s="91"/>
      <c r="AB28" s="95"/>
      <c r="AC28" s="91">
        <v>5</v>
      </c>
      <c r="AD28" s="95">
        <f t="shared" si="1"/>
        <v>3.5</v>
      </c>
      <c r="AF28" s="102" t="s">
        <v>32</v>
      </c>
      <c r="AG28" s="91"/>
      <c r="AH28" s="95"/>
      <c r="AI28" s="95">
        <v>2.8</v>
      </c>
      <c r="AJ28" s="102">
        <v>2.5583870967741928</v>
      </c>
    </row>
    <row r="29" spans="4:36" x14ac:dyDescent="0.25">
      <c r="D29" s="9" t="s">
        <v>137</v>
      </c>
      <c r="E29" s="91"/>
      <c r="F29" s="91"/>
      <c r="G29" s="91"/>
      <c r="H29" s="95"/>
      <c r="I29" s="9">
        <v>6</v>
      </c>
      <c r="J29" s="91">
        <v>14</v>
      </c>
      <c r="K29" s="91">
        <v>4</v>
      </c>
      <c r="L29" s="95">
        <v>2</v>
      </c>
      <c r="N29" s="9" t="s">
        <v>137</v>
      </c>
      <c r="O29" s="9"/>
      <c r="P29" s="95"/>
      <c r="Q29" s="91">
        <v>6</v>
      </c>
      <c r="R29" s="95">
        <f t="shared" si="0"/>
        <v>6.6875</v>
      </c>
      <c r="T29" s="9" t="s">
        <v>137</v>
      </c>
      <c r="U29" s="9"/>
      <c r="V29" s="95"/>
      <c r="W29" s="91">
        <v>14</v>
      </c>
      <c r="X29" s="95">
        <v>14.6875</v>
      </c>
      <c r="Z29" s="9" t="s">
        <v>137</v>
      </c>
      <c r="AA29" s="91"/>
      <c r="AB29" s="95"/>
      <c r="AC29" s="91">
        <v>4</v>
      </c>
      <c r="AD29" s="95">
        <f t="shared" si="1"/>
        <v>3.5</v>
      </c>
      <c r="AF29" s="9" t="s">
        <v>137</v>
      </c>
      <c r="AG29" s="91"/>
      <c r="AH29" s="95"/>
      <c r="AI29" s="95">
        <v>2</v>
      </c>
      <c r="AJ29" s="102">
        <v>2.5583870967741928</v>
      </c>
    </row>
    <row r="30" spans="4:36" x14ac:dyDescent="0.25">
      <c r="D30" s="9" t="s">
        <v>138</v>
      </c>
      <c r="E30" s="91"/>
      <c r="F30" s="91"/>
      <c r="G30" s="91"/>
      <c r="H30" s="95"/>
      <c r="I30" s="9">
        <v>6</v>
      </c>
      <c r="J30" s="91">
        <v>13</v>
      </c>
      <c r="K30" s="91">
        <v>2</v>
      </c>
      <c r="L30" s="95">
        <v>3.5</v>
      </c>
      <c r="N30" s="9" t="s">
        <v>138</v>
      </c>
      <c r="O30" s="9"/>
      <c r="P30" s="95"/>
      <c r="Q30" s="91">
        <v>6</v>
      </c>
      <c r="R30" s="95">
        <f t="shared" si="0"/>
        <v>6.6875</v>
      </c>
      <c r="T30" s="9" t="s">
        <v>138</v>
      </c>
      <c r="U30" s="9"/>
      <c r="V30" s="95"/>
      <c r="W30" s="91">
        <v>13</v>
      </c>
      <c r="X30" s="95">
        <v>14.6875</v>
      </c>
      <c r="Z30" s="9" t="s">
        <v>138</v>
      </c>
      <c r="AA30" s="91"/>
      <c r="AB30" s="95"/>
      <c r="AC30" s="91">
        <v>2</v>
      </c>
      <c r="AD30" s="95">
        <f t="shared" si="1"/>
        <v>3.5</v>
      </c>
      <c r="AF30" s="9" t="s">
        <v>138</v>
      </c>
      <c r="AG30" s="91"/>
      <c r="AH30" s="95"/>
      <c r="AI30" s="95">
        <v>3.5</v>
      </c>
      <c r="AJ30" s="102">
        <v>2.5583870967741928</v>
      </c>
    </row>
    <row r="31" spans="4:36" x14ac:dyDescent="0.25">
      <c r="D31" s="9" t="s">
        <v>139</v>
      </c>
      <c r="E31" s="91"/>
      <c r="F31" s="91"/>
      <c r="G31" s="91"/>
      <c r="H31" s="95"/>
      <c r="I31" s="9">
        <v>7</v>
      </c>
      <c r="J31" s="91">
        <v>15</v>
      </c>
      <c r="K31" s="91">
        <v>3</v>
      </c>
      <c r="L31" s="95">
        <v>3</v>
      </c>
      <c r="N31" s="9" t="s">
        <v>139</v>
      </c>
      <c r="O31" s="9"/>
      <c r="P31" s="95"/>
      <c r="Q31" s="91">
        <v>7</v>
      </c>
      <c r="R31" s="95">
        <f t="shared" si="0"/>
        <v>6.6875</v>
      </c>
      <c r="T31" s="9" t="s">
        <v>139</v>
      </c>
      <c r="U31" s="9"/>
      <c r="V31" s="95"/>
      <c r="W31" s="91">
        <v>15</v>
      </c>
      <c r="X31" s="95">
        <v>14.6875</v>
      </c>
      <c r="Z31" s="9" t="s">
        <v>139</v>
      </c>
      <c r="AA31" s="91"/>
      <c r="AB31" s="95"/>
      <c r="AC31" s="91">
        <v>3</v>
      </c>
      <c r="AD31" s="95">
        <f t="shared" si="1"/>
        <v>3.5</v>
      </c>
      <c r="AF31" s="9" t="s">
        <v>139</v>
      </c>
      <c r="AG31" s="91"/>
      <c r="AH31" s="95"/>
      <c r="AI31" s="95">
        <v>3</v>
      </c>
      <c r="AJ31" s="102">
        <v>2.5583870967741928</v>
      </c>
    </row>
    <row r="32" spans="4:36" x14ac:dyDescent="0.25">
      <c r="D32" s="9" t="s">
        <v>140</v>
      </c>
      <c r="E32" s="91"/>
      <c r="F32" s="91"/>
      <c r="G32" s="91"/>
      <c r="H32" s="95"/>
      <c r="I32" s="9">
        <v>8</v>
      </c>
      <c r="J32" s="91">
        <v>18</v>
      </c>
      <c r="K32" s="91">
        <v>4</v>
      </c>
      <c r="L32" s="95">
        <v>2.5</v>
      </c>
      <c r="N32" s="9" t="s">
        <v>140</v>
      </c>
      <c r="O32" s="9"/>
      <c r="P32" s="95"/>
      <c r="Q32" s="91">
        <v>8</v>
      </c>
      <c r="R32" s="95">
        <f t="shared" si="0"/>
        <v>6.6875</v>
      </c>
      <c r="T32" s="9" t="s">
        <v>140</v>
      </c>
      <c r="U32" s="9"/>
      <c r="V32" s="95"/>
      <c r="W32" s="91">
        <v>18</v>
      </c>
      <c r="X32" s="95">
        <v>14.6875</v>
      </c>
      <c r="Z32" s="9" t="s">
        <v>140</v>
      </c>
      <c r="AA32" s="91"/>
      <c r="AB32" s="95"/>
      <c r="AC32" s="91">
        <v>4</v>
      </c>
      <c r="AD32" s="95">
        <f t="shared" si="1"/>
        <v>3.5</v>
      </c>
      <c r="AF32" s="9" t="s">
        <v>140</v>
      </c>
      <c r="AG32" s="91"/>
      <c r="AH32" s="95"/>
      <c r="AI32" s="95">
        <v>2.5</v>
      </c>
      <c r="AJ32" s="102">
        <v>2.5583870967741928</v>
      </c>
    </row>
    <row r="33" spans="4:36" x14ac:dyDescent="0.25">
      <c r="D33" s="9" t="s">
        <v>141</v>
      </c>
      <c r="E33" s="91"/>
      <c r="F33" s="91"/>
      <c r="G33" s="91"/>
      <c r="H33" s="95"/>
      <c r="I33" s="9">
        <v>11</v>
      </c>
      <c r="J33" s="91">
        <v>23</v>
      </c>
      <c r="K33" s="91">
        <v>5</v>
      </c>
      <c r="L33" s="95">
        <v>3</v>
      </c>
      <c r="N33" s="9" t="s">
        <v>141</v>
      </c>
      <c r="O33" s="9"/>
      <c r="P33" s="95"/>
      <c r="Q33" s="91">
        <v>11</v>
      </c>
      <c r="R33" s="95">
        <f t="shared" si="0"/>
        <v>6.6875</v>
      </c>
      <c r="T33" s="9" t="s">
        <v>141</v>
      </c>
      <c r="U33" s="9"/>
      <c r="V33" s="95"/>
      <c r="W33" s="91">
        <v>22</v>
      </c>
      <c r="X33" s="95">
        <v>14.6875</v>
      </c>
      <c r="Z33" s="9" t="s">
        <v>141</v>
      </c>
      <c r="AA33" s="91"/>
      <c r="AB33" s="95"/>
      <c r="AC33" s="91">
        <v>5</v>
      </c>
      <c r="AD33" s="95">
        <f t="shared" si="1"/>
        <v>3.5</v>
      </c>
      <c r="AF33" s="9" t="s">
        <v>141</v>
      </c>
      <c r="AG33" s="91"/>
      <c r="AH33" s="95"/>
      <c r="AI33" s="95">
        <v>3</v>
      </c>
      <c r="AJ33" s="102">
        <v>2.5583870967741928</v>
      </c>
    </row>
    <row r="34" spans="4:36" x14ac:dyDescent="0.25">
      <c r="D34" s="9" t="s">
        <v>142</v>
      </c>
      <c r="E34" s="91"/>
      <c r="F34" s="91"/>
      <c r="G34" s="91"/>
      <c r="H34" s="95"/>
      <c r="I34" s="9">
        <v>10</v>
      </c>
      <c r="J34" s="91">
        <v>21</v>
      </c>
      <c r="K34" s="91">
        <v>6</v>
      </c>
      <c r="L34" s="95">
        <v>2.8</v>
      </c>
      <c r="N34" s="9" t="s">
        <v>142</v>
      </c>
      <c r="O34" s="9"/>
      <c r="P34" s="95"/>
      <c r="Q34" s="91">
        <v>10</v>
      </c>
      <c r="R34" s="95">
        <f t="shared" si="0"/>
        <v>6.6875</v>
      </c>
      <c r="T34" s="9" t="s">
        <v>142</v>
      </c>
      <c r="U34" s="9"/>
      <c r="V34" s="95"/>
      <c r="W34" s="91">
        <v>20</v>
      </c>
      <c r="X34" s="95">
        <v>14.6875</v>
      </c>
      <c r="Z34" s="9" t="s">
        <v>142</v>
      </c>
      <c r="AA34" s="91"/>
      <c r="AB34" s="95"/>
      <c r="AC34" s="91">
        <v>5</v>
      </c>
      <c r="AD34" s="95">
        <f t="shared" si="1"/>
        <v>3.5</v>
      </c>
      <c r="AF34" s="9" t="s">
        <v>142</v>
      </c>
      <c r="AG34" s="91"/>
      <c r="AH34" s="95"/>
      <c r="AI34" s="95">
        <v>2.8</v>
      </c>
      <c r="AJ34" s="102">
        <v>2.5583870967741928</v>
      </c>
    </row>
    <row r="35" spans="4:36" x14ac:dyDescent="0.25">
      <c r="D35" s="9" t="s">
        <v>143</v>
      </c>
      <c r="E35" s="91"/>
      <c r="F35" s="91"/>
      <c r="G35" s="91"/>
      <c r="H35" s="95"/>
      <c r="I35" s="9">
        <v>5</v>
      </c>
      <c r="J35" s="91">
        <v>11</v>
      </c>
      <c r="K35" s="91">
        <v>3</v>
      </c>
      <c r="L35" s="95">
        <v>2.33</v>
      </c>
      <c r="N35" s="9" t="s">
        <v>143</v>
      </c>
      <c r="O35" s="9"/>
      <c r="P35" s="95"/>
      <c r="Q35" s="91">
        <v>5</v>
      </c>
      <c r="R35" s="95">
        <f t="shared" si="0"/>
        <v>6.6875</v>
      </c>
      <c r="T35" s="9" t="s">
        <v>143</v>
      </c>
      <c r="U35" s="9"/>
      <c r="V35" s="95"/>
      <c r="W35" s="91">
        <v>11</v>
      </c>
      <c r="X35" s="95">
        <v>14.6875</v>
      </c>
      <c r="Z35" s="9" t="s">
        <v>143</v>
      </c>
      <c r="AA35" s="91"/>
      <c r="AB35" s="95"/>
      <c r="AC35" s="91">
        <v>3</v>
      </c>
      <c r="AD35" s="95">
        <f t="shared" si="1"/>
        <v>3.5</v>
      </c>
      <c r="AF35" s="9" t="s">
        <v>143</v>
      </c>
      <c r="AG35" s="91"/>
      <c r="AH35" s="95"/>
      <c r="AI35" s="95">
        <v>2.33</v>
      </c>
      <c r="AJ35" s="102">
        <v>2.5583870967741928</v>
      </c>
    </row>
    <row r="36" spans="4:36" ht="15.75" thickBot="1" x14ac:dyDescent="0.3">
      <c r="D36" s="9" t="s">
        <v>144</v>
      </c>
      <c r="E36" s="91"/>
      <c r="F36" s="91"/>
      <c r="G36" s="91"/>
      <c r="H36" s="95"/>
      <c r="I36" s="109">
        <v>8</v>
      </c>
      <c r="J36" s="96">
        <v>18</v>
      </c>
      <c r="K36" s="96">
        <v>4</v>
      </c>
      <c r="L36" s="111">
        <v>2.5</v>
      </c>
      <c r="N36" s="9" t="s">
        <v>144</v>
      </c>
      <c r="O36" s="109"/>
      <c r="P36" s="111"/>
      <c r="Q36" s="96">
        <v>8</v>
      </c>
      <c r="R36" s="111">
        <f t="shared" si="0"/>
        <v>6.6875</v>
      </c>
      <c r="T36" s="9" t="s">
        <v>144</v>
      </c>
      <c r="U36" s="109"/>
      <c r="V36" s="111"/>
      <c r="W36" s="96">
        <v>18</v>
      </c>
      <c r="X36" s="111">
        <v>14.6875</v>
      </c>
      <c r="Z36" s="9" t="s">
        <v>144</v>
      </c>
      <c r="AA36" s="96"/>
      <c r="AB36" s="111"/>
      <c r="AC36" s="96">
        <v>4</v>
      </c>
      <c r="AD36" s="111">
        <f t="shared" si="1"/>
        <v>3.5</v>
      </c>
      <c r="AF36" s="9" t="s">
        <v>144</v>
      </c>
      <c r="AG36" s="96"/>
      <c r="AH36" s="111"/>
      <c r="AI36" s="111">
        <v>2.5</v>
      </c>
      <c r="AJ36" s="122">
        <v>2.5583870967741928</v>
      </c>
    </row>
    <row r="37" spans="4:36" x14ac:dyDescent="0.25">
      <c r="D37" s="118" t="s">
        <v>87</v>
      </c>
      <c r="E37" s="119">
        <f>_xlfn.STDEV.S(E5:E18)</f>
        <v>1.3363062095621221</v>
      </c>
      <c r="F37" s="119">
        <f>_xlfn.STDEV.S(F5:F18)</f>
        <v>2.4326081512611952</v>
      </c>
      <c r="G37" s="119">
        <f>_xlfn.STDEV.S(G5:G18)</f>
        <v>1.3363062095621216</v>
      </c>
      <c r="H37" s="120">
        <f>_xlfn.STDEV.S(H5:H11,H13:H18)</f>
        <v>0.30048891783823095</v>
      </c>
      <c r="I37" s="118">
        <f>_xlfn.STDEV.S(I5:I36)</f>
        <v>2.6449891761471318</v>
      </c>
      <c r="J37" s="119">
        <f>_xlfn.STDEV.S(J5:J36)</f>
        <v>5.3881590608032468</v>
      </c>
      <c r="K37" s="119">
        <f>_xlfn.STDEV.S(K5:K36)</f>
        <v>1.413857112824302</v>
      </c>
      <c r="L37" s="120">
        <f>_xlfn.STDEV.S(L13:L36,L5:L11)</f>
        <v>0.75830115729919079</v>
      </c>
    </row>
    <row r="38" spans="4:36" ht="15.75" thickBot="1" x14ac:dyDescent="0.3">
      <c r="D38" s="84" t="s">
        <v>88</v>
      </c>
      <c r="E38" s="82">
        <f>_xlfn.VAR.S(E5:E18)</f>
        <v>1.7857142857142863</v>
      </c>
      <c r="F38" s="82">
        <f>_xlfn.VAR.S(F5:F18)</f>
        <v>5.9175824175824099</v>
      </c>
      <c r="G38" s="82">
        <f>_xlfn.VAR.S(G5:G18)</f>
        <v>1.7857142857142851</v>
      </c>
      <c r="H38" s="83">
        <f>_xlfn.VAR.S(H13:H18,H5:H11)</f>
        <v>9.0293589743589323E-2</v>
      </c>
      <c r="I38" s="84">
        <f>_xlfn.VAR.S(I5:I36)</f>
        <v>6.995967741935484</v>
      </c>
      <c r="J38" s="82">
        <f>_xlfn.VAR.S(J5:J36)</f>
        <v>29.032258064516128</v>
      </c>
      <c r="K38" s="82">
        <f>_xlfn.VAR.S(K5:K36)</f>
        <v>1.998991935483871</v>
      </c>
      <c r="L38" s="83">
        <f>_xlfn.VAR.S(L13:L36,L5:L11)</f>
        <v>0.57502064516129203</v>
      </c>
    </row>
    <row r="41" spans="4:36" ht="15.75" thickBot="1" x14ac:dyDescent="0.3">
      <c r="G41" s="140" t="s">
        <v>130</v>
      </c>
    </row>
    <row r="42" spans="4:36" ht="15.75" thickBot="1" x14ac:dyDescent="0.3">
      <c r="D42" s="137"/>
      <c r="E42" s="138"/>
      <c r="F42" s="138" t="s">
        <v>96</v>
      </c>
      <c r="G42" s="138" t="s">
        <v>97</v>
      </c>
      <c r="H42" s="138" t="s">
        <v>98</v>
      </c>
      <c r="I42" s="139" t="s">
        <v>99</v>
      </c>
    </row>
    <row r="43" spans="4:36" x14ac:dyDescent="0.25">
      <c r="D43" s="9" t="s">
        <v>100</v>
      </c>
      <c r="E43" s="91"/>
      <c r="F43" s="91">
        <v>12</v>
      </c>
      <c r="G43" s="91">
        <v>8</v>
      </c>
      <c r="H43" s="91">
        <v>2</v>
      </c>
      <c r="I43" s="95">
        <v>5</v>
      </c>
    </row>
    <row r="44" spans="4:36" ht="15.75" thickBot="1" x14ac:dyDescent="0.3">
      <c r="D44" s="109" t="s">
        <v>145</v>
      </c>
      <c r="E44" s="96"/>
      <c r="F44" s="96">
        <v>24</v>
      </c>
      <c r="G44" s="96">
        <v>25</v>
      </c>
      <c r="H44" s="96">
        <v>13</v>
      </c>
      <c r="I44" s="111">
        <v>13</v>
      </c>
    </row>
    <row r="46" spans="4:36" ht="15.75" thickBot="1" x14ac:dyDescent="0.3">
      <c r="G46" s="140" t="s">
        <v>131</v>
      </c>
    </row>
    <row r="47" spans="4:36" ht="15.75" thickBot="1" x14ac:dyDescent="0.3">
      <c r="D47" s="137"/>
      <c r="E47" s="138"/>
      <c r="F47" s="138" t="s">
        <v>96</v>
      </c>
      <c r="G47" s="138" t="s">
        <v>97</v>
      </c>
      <c r="H47" s="138" t="s">
        <v>98</v>
      </c>
      <c r="I47" s="139" t="s">
        <v>99</v>
      </c>
    </row>
    <row r="48" spans="4:36" x14ac:dyDescent="0.25">
      <c r="D48" s="110" t="s">
        <v>91</v>
      </c>
      <c r="E48" s="136"/>
      <c r="F48" s="136">
        <f>F43/14*100</f>
        <v>85.714285714285708</v>
      </c>
      <c r="G48" s="136">
        <f>G43/14*100</f>
        <v>57.142857142857139</v>
      </c>
      <c r="H48" s="136">
        <f>H43/14*100</f>
        <v>14.285714285714285</v>
      </c>
      <c r="I48" s="125">
        <f>I43/14*100</f>
        <v>35.714285714285715</v>
      </c>
    </row>
    <row r="49" spans="4:17" ht="15.75" thickBot="1" x14ac:dyDescent="0.3">
      <c r="D49" s="109" t="s">
        <v>145</v>
      </c>
      <c r="E49" s="96"/>
      <c r="F49" s="96">
        <f>100*F44/32</f>
        <v>75</v>
      </c>
      <c r="G49" s="96">
        <f>100*G44/32</f>
        <v>78.125</v>
      </c>
      <c r="H49" s="96">
        <f>100*H44/32</f>
        <v>40.625</v>
      </c>
      <c r="I49" s="111">
        <f>100*I44/32</f>
        <v>40.625</v>
      </c>
    </row>
    <row r="51" spans="4:17" x14ac:dyDescent="0.25">
      <c r="D51" s="233"/>
      <c r="E51" s="233"/>
      <c r="F51" s="233"/>
      <c r="G51" s="233"/>
      <c r="H51" s="233"/>
    </row>
    <row r="52" spans="4:17" ht="15.75" thickBot="1" x14ac:dyDescent="0.3">
      <c r="D52" s="143"/>
      <c r="E52" s="144"/>
      <c r="F52" s="144"/>
      <c r="G52" s="145"/>
      <c r="H52" s="145"/>
      <c r="J52" s="140" t="s">
        <v>147</v>
      </c>
    </row>
    <row r="53" spans="4:17" ht="15.75" thickBot="1" x14ac:dyDescent="0.3">
      <c r="D53" s="91"/>
      <c r="E53" s="91"/>
      <c r="F53" s="91"/>
      <c r="G53" s="91"/>
      <c r="H53" s="91"/>
      <c r="J53" s="137"/>
      <c r="K53" s="138" t="s">
        <v>103</v>
      </c>
      <c r="L53" s="138" t="s">
        <v>104</v>
      </c>
      <c r="M53" s="138" t="s">
        <v>105</v>
      </c>
      <c r="N53" s="138" t="s">
        <v>106</v>
      </c>
      <c r="O53" s="138" t="s">
        <v>107</v>
      </c>
      <c r="P53" s="142" t="s">
        <v>109</v>
      </c>
      <c r="Q53" s="141" t="s">
        <v>108</v>
      </c>
    </row>
    <row r="54" spans="4:17" x14ac:dyDescent="0.25">
      <c r="D54" s="91"/>
      <c r="E54" s="91"/>
      <c r="F54" s="91"/>
      <c r="G54" s="91"/>
      <c r="H54" s="91"/>
      <c r="J54" s="110" t="s">
        <v>91</v>
      </c>
      <c r="K54" s="136">
        <v>0</v>
      </c>
      <c r="L54" s="136">
        <v>1</v>
      </c>
      <c r="M54" s="136">
        <v>0</v>
      </c>
      <c r="N54" s="136">
        <v>0</v>
      </c>
      <c r="O54" s="136">
        <v>3</v>
      </c>
      <c r="P54" s="136">
        <v>1</v>
      </c>
      <c r="Q54" s="125">
        <v>0</v>
      </c>
    </row>
    <row r="55" spans="4:17" ht="15.75" thickBot="1" x14ac:dyDescent="0.3">
      <c r="E55" s="140"/>
      <c r="J55" s="109" t="s">
        <v>145</v>
      </c>
      <c r="K55" s="96">
        <v>4</v>
      </c>
      <c r="L55" s="96">
        <v>8</v>
      </c>
      <c r="M55" s="96">
        <v>3</v>
      </c>
      <c r="N55" s="96">
        <v>9</v>
      </c>
      <c r="O55" s="96">
        <v>6</v>
      </c>
      <c r="P55" s="96">
        <v>10</v>
      </c>
      <c r="Q55" s="111">
        <v>1</v>
      </c>
    </row>
    <row r="56" spans="4:17" ht="15.75" thickBot="1" x14ac:dyDescent="0.3">
      <c r="D56" s="137"/>
      <c r="E56" s="138"/>
      <c r="F56" s="138"/>
      <c r="G56" s="138"/>
      <c r="H56" s="138"/>
      <c r="I56" s="139"/>
    </row>
    <row r="57" spans="4:17" x14ac:dyDescent="0.25">
      <c r="D57" s="9"/>
      <c r="E57" s="91"/>
      <c r="F57" s="91"/>
      <c r="G57" s="91"/>
      <c r="H57" s="91"/>
      <c r="I57" s="95"/>
    </row>
    <row r="58" spans="4:17" ht="15.75" thickBot="1" x14ac:dyDescent="0.3">
      <c r="D58" s="109"/>
      <c r="E58" s="96"/>
      <c r="F58" s="96"/>
      <c r="G58" s="96"/>
      <c r="H58" s="96"/>
      <c r="I58" s="111"/>
      <c r="M58" s="140" t="s">
        <v>102</v>
      </c>
    </row>
    <row r="59" spans="4:17" ht="15.75" thickBot="1" x14ac:dyDescent="0.3">
      <c r="D59" s="91"/>
      <c r="E59" s="99"/>
      <c r="F59" s="91"/>
      <c r="G59" s="91"/>
      <c r="H59" s="91"/>
      <c r="J59" s="137"/>
      <c r="K59" s="138" t="s">
        <v>103</v>
      </c>
      <c r="L59" s="138" t="s">
        <v>104</v>
      </c>
      <c r="M59" s="138" t="s">
        <v>105</v>
      </c>
      <c r="N59" s="138" t="s">
        <v>106</v>
      </c>
      <c r="O59" s="138" t="s">
        <v>107</v>
      </c>
      <c r="P59" s="142" t="s">
        <v>109</v>
      </c>
      <c r="Q59" s="141" t="s">
        <v>108</v>
      </c>
    </row>
    <row r="60" spans="4:17" x14ac:dyDescent="0.25">
      <c r="D60" s="91"/>
      <c r="E60" s="93"/>
      <c r="F60" s="91"/>
      <c r="G60" s="93"/>
      <c r="H60" s="91"/>
      <c r="J60" s="110" t="s">
        <v>91</v>
      </c>
      <c r="K60" s="136">
        <f>K54/14*100</f>
        <v>0</v>
      </c>
      <c r="L60" s="136">
        <f t="shared" ref="L60:Q60" si="2">L54/14*100</f>
        <v>7.1428571428571423</v>
      </c>
      <c r="M60" s="136">
        <f t="shared" si="2"/>
        <v>0</v>
      </c>
      <c r="N60" s="136">
        <f t="shared" si="2"/>
        <v>0</v>
      </c>
      <c r="O60" s="136">
        <f t="shared" si="2"/>
        <v>21.428571428571427</v>
      </c>
      <c r="P60" s="136">
        <f t="shared" si="2"/>
        <v>7.1428571428571423</v>
      </c>
      <c r="Q60" s="136">
        <f t="shared" si="2"/>
        <v>0</v>
      </c>
    </row>
    <row r="61" spans="4:17" ht="15.75" thickBot="1" x14ac:dyDescent="0.3">
      <c r="D61" s="91"/>
      <c r="E61" s="91"/>
      <c r="F61" s="91"/>
      <c r="G61" s="91"/>
      <c r="H61" s="91"/>
      <c r="J61" s="109" t="s">
        <v>145</v>
      </c>
      <c r="K61" s="96">
        <f>K55/32*100</f>
        <v>12.5</v>
      </c>
      <c r="L61" s="96">
        <f t="shared" ref="L61:Q61" si="3">L55/32*100</f>
        <v>25</v>
      </c>
      <c r="M61" s="96">
        <f t="shared" si="3"/>
        <v>9.375</v>
      </c>
      <c r="N61" s="96">
        <f t="shared" si="3"/>
        <v>28.125</v>
      </c>
      <c r="O61" s="96">
        <f t="shared" si="3"/>
        <v>18.75</v>
      </c>
      <c r="P61" s="96">
        <f t="shared" si="3"/>
        <v>31.25</v>
      </c>
      <c r="Q61" s="96">
        <f t="shared" si="3"/>
        <v>3.125</v>
      </c>
    </row>
    <row r="62" spans="4:17" x14ac:dyDescent="0.25">
      <c r="D62" s="146"/>
      <c r="E62" s="91"/>
      <c r="F62" s="91"/>
      <c r="G62" s="91"/>
      <c r="H62" s="91"/>
    </row>
    <row r="63" spans="4:17" x14ac:dyDescent="0.25">
      <c r="D63" s="91"/>
      <c r="E63" s="91"/>
      <c r="F63" s="91"/>
      <c r="G63" s="91"/>
      <c r="H63" s="91"/>
    </row>
    <row r="64" spans="4:17" x14ac:dyDescent="0.25">
      <c r="D64" s="91"/>
      <c r="E64" s="91"/>
      <c r="F64" s="91"/>
      <c r="G64" s="91"/>
      <c r="H64" s="91"/>
    </row>
    <row r="65" spans="4:8" x14ac:dyDescent="0.25">
      <c r="D65" s="91"/>
      <c r="E65" s="91"/>
      <c r="F65" s="91"/>
      <c r="G65" s="91"/>
      <c r="H65" s="91"/>
    </row>
    <row r="66" spans="4:8" x14ac:dyDescent="0.25">
      <c r="D66" s="91"/>
      <c r="E66" s="91"/>
      <c r="F66" s="91"/>
      <c r="G66" s="91"/>
      <c r="H66" s="91"/>
    </row>
    <row r="67" spans="4:8" x14ac:dyDescent="0.25">
      <c r="D67" s="91"/>
      <c r="E67" s="91"/>
      <c r="F67" s="91"/>
      <c r="G67" s="91"/>
      <c r="H67" s="91"/>
    </row>
    <row r="68" spans="4:8" x14ac:dyDescent="0.25">
      <c r="D68" s="91"/>
      <c r="E68" s="91"/>
      <c r="F68" s="91"/>
      <c r="G68" s="91"/>
      <c r="H68" s="91"/>
    </row>
    <row r="69" spans="4:8" x14ac:dyDescent="0.25">
      <c r="D69" s="91"/>
      <c r="E69" s="91"/>
      <c r="F69" s="91"/>
      <c r="G69" s="91"/>
      <c r="H69" s="91"/>
    </row>
    <row r="70" spans="4:8" x14ac:dyDescent="0.25">
      <c r="D70" s="91"/>
      <c r="E70" s="91"/>
      <c r="F70" s="91"/>
      <c r="G70" s="91"/>
      <c r="H70" s="91"/>
    </row>
    <row r="71" spans="4:8" x14ac:dyDescent="0.25">
      <c r="D71" s="91"/>
      <c r="E71" s="91"/>
      <c r="F71" s="91"/>
      <c r="G71" s="91"/>
      <c r="H71" s="91"/>
    </row>
    <row r="72" spans="4:8" x14ac:dyDescent="0.25">
      <c r="D72" s="91"/>
      <c r="E72" s="91"/>
      <c r="F72" s="91"/>
      <c r="G72" s="91"/>
      <c r="H72" s="91"/>
    </row>
    <row r="73" spans="4:8" x14ac:dyDescent="0.25">
      <c r="D73" s="91"/>
      <c r="E73" s="91"/>
      <c r="F73" s="91"/>
      <c r="G73" s="91"/>
      <c r="H73" s="91"/>
    </row>
    <row r="74" spans="4:8" x14ac:dyDescent="0.25">
      <c r="D74" s="91"/>
      <c r="E74" s="91"/>
      <c r="F74" s="91"/>
      <c r="G74" s="91"/>
      <c r="H74" s="91"/>
    </row>
    <row r="75" spans="4:8" x14ac:dyDescent="0.25">
      <c r="D75" s="91"/>
      <c r="E75" s="91"/>
      <c r="F75" s="91"/>
      <c r="G75" s="91"/>
      <c r="H75" s="91"/>
    </row>
    <row r="76" spans="4:8" x14ac:dyDescent="0.25">
      <c r="D76" s="91"/>
      <c r="E76" s="91"/>
      <c r="F76" s="91"/>
      <c r="G76" s="91"/>
      <c r="H76" s="91"/>
    </row>
    <row r="77" spans="4:8" x14ac:dyDescent="0.25">
      <c r="D77" s="91"/>
      <c r="E77" s="91"/>
      <c r="F77" s="91"/>
      <c r="G77" s="91"/>
      <c r="H77" s="91"/>
    </row>
    <row r="78" spans="4:8" x14ac:dyDescent="0.25">
      <c r="D78" s="91"/>
      <c r="E78" s="91"/>
      <c r="F78" s="91"/>
      <c r="G78" s="91"/>
      <c r="H78" s="91"/>
    </row>
    <row r="79" spans="4:8" x14ac:dyDescent="0.25">
      <c r="D79" s="91"/>
      <c r="E79" s="91"/>
      <c r="F79" s="91"/>
      <c r="G79" s="91"/>
      <c r="H79" s="91"/>
    </row>
    <row r="80" spans="4:8" x14ac:dyDescent="0.25">
      <c r="D80" s="91"/>
      <c r="E80" s="91"/>
      <c r="F80" s="91"/>
      <c r="G80" s="91"/>
      <c r="H80" s="91"/>
    </row>
    <row r="81" spans="4:8" x14ac:dyDescent="0.25">
      <c r="D81" s="91"/>
      <c r="E81" s="91"/>
      <c r="F81" s="91"/>
      <c r="G81" s="91"/>
      <c r="H81" s="91"/>
    </row>
    <row r="82" spans="4:8" x14ac:dyDescent="0.25">
      <c r="D82" s="91"/>
      <c r="E82" s="91"/>
      <c r="F82" s="91"/>
      <c r="G82" s="91"/>
      <c r="H82" s="91"/>
    </row>
    <row r="83" spans="4:8" x14ac:dyDescent="0.25">
      <c r="D83" s="91"/>
      <c r="E83" s="91"/>
      <c r="F83" s="91"/>
      <c r="G83" s="91"/>
      <c r="H83" s="91"/>
    </row>
    <row r="84" spans="4:8" x14ac:dyDescent="0.25">
      <c r="D84" s="91"/>
      <c r="E84" s="91"/>
      <c r="F84" s="91"/>
      <c r="G84" s="91"/>
      <c r="H84" s="91"/>
    </row>
  </sheetData>
  <mergeCells count="7">
    <mergeCell ref="D51:H51"/>
    <mergeCell ref="Z3:AD3"/>
    <mergeCell ref="AF3:AJ3"/>
    <mergeCell ref="E3:H3"/>
    <mergeCell ref="I3:L3"/>
    <mergeCell ref="N3:R3"/>
    <mergeCell ref="T3:X3"/>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J74"/>
  <sheetViews>
    <sheetView tabSelected="1" topLeftCell="V5" zoomScale="90" zoomScaleNormal="90" workbookViewId="0">
      <selection activeCell="AC21" sqref="AC21"/>
    </sheetView>
  </sheetViews>
  <sheetFormatPr defaultRowHeight="15" x14ac:dyDescent="0.25"/>
  <cols>
    <col min="4" max="4" width="14" customWidth="1"/>
    <col min="5" max="5" width="10.5703125" customWidth="1"/>
    <col min="6" max="6" width="10.7109375" customWidth="1"/>
    <col min="8" max="8" width="13.85546875" customWidth="1"/>
    <col min="9" max="9" width="14.28515625" customWidth="1"/>
    <col min="10" max="10" width="23" customWidth="1"/>
    <col min="14" max="14" width="15" customWidth="1"/>
    <col min="15" max="16" width="13.42578125" customWidth="1"/>
    <col min="17" max="17" width="18.42578125" customWidth="1"/>
    <col min="18" max="18" width="19" customWidth="1"/>
    <col min="19" max="19" width="18.42578125" customWidth="1"/>
    <col min="20" max="20" width="15.7109375" customWidth="1"/>
    <col min="21" max="21" width="20.5703125" customWidth="1"/>
    <col min="22" max="22" width="18.140625" customWidth="1"/>
    <col min="23" max="23" width="17.42578125" customWidth="1"/>
    <col min="25" max="25" width="11.28515625" customWidth="1"/>
    <col min="26" max="26" width="14.85546875" customWidth="1"/>
    <col min="27" max="27" width="14.140625" customWidth="1"/>
    <col min="28" max="28" width="18" customWidth="1"/>
    <col min="29" max="29" width="11" customWidth="1"/>
    <col min="30" max="30" width="13.140625" customWidth="1"/>
    <col min="33" max="33" width="9.5703125" bestFit="1" customWidth="1"/>
    <col min="34" max="34" width="19.42578125" customWidth="1"/>
  </cols>
  <sheetData>
    <row r="2" spans="2:36" ht="15.75" thickBot="1" x14ac:dyDescent="0.3">
      <c r="T2">
        <f>_xlfn.STDEV.S(S5:S18)</f>
        <v>3.4105524672504504</v>
      </c>
      <c r="U2">
        <f>_xlfn.STDEV.S(U5:U36)</f>
        <v>3.4448418663083751</v>
      </c>
      <c r="AE2">
        <f>_xlfn.STDEV.S(AE5:AE18)</f>
        <v>0.66299354413179556</v>
      </c>
      <c r="AG2">
        <f>_xlfn.STDEV.S(AG5:AG36)</f>
        <v>0.5526694748103036</v>
      </c>
    </row>
    <row r="3" spans="2:36" ht="15.75" thickBot="1" x14ac:dyDescent="0.3">
      <c r="B3" s="123" t="s">
        <v>1</v>
      </c>
      <c r="C3" s="235" t="s">
        <v>91</v>
      </c>
      <c r="D3" s="235"/>
      <c r="E3" s="235"/>
      <c r="F3" s="236"/>
      <c r="G3" s="242" t="s">
        <v>145</v>
      </c>
      <c r="H3" s="243"/>
      <c r="I3" s="243"/>
      <c r="J3" s="244"/>
      <c r="L3" s="234" t="s">
        <v>95</v>
      </c>
      <c r="M3" s="234"/>
      <c r="N3" s="234"/>
      <c r="O3" s="234"/>
      <c r="P3" s="234"/>
      <c r="R3" s="234" t="s">
        <v>287</v>
      </c>
      <c r="S3" s="234"/>
      <c r="T3" s="234"/>
      <c r="U3" s="234"/>
      <c r="V3" s="234"/>
      <c r="X3" s="234" t="s">
        <v>123</v>
      </c>
      <c r="Y3" s="234"/>
      <c r="Z3" s="234"/>
      <c r="AA3" s="234"/>
      <c r="AB3" s="234"/>
      <c r="AD3" s="234" t="s">
        <v>288</v>
      </c>
      <c r="AE3" s="234"/>
      <c r="AF3" s="234"/>
      <c r="AG3" s="234"/>
      <c r="AH3" s="234"/>
    </row>
    <row r="4" spans="2:36" ht="15.75" thickBot="1" x14ac:dyDescent="0.3">
      <c r="B4" s="102"/>
      <c r="C4" s="113" t="s">
        <v>95</v>
      </c>
      <c r="D4" s="114" t="s">
        <v>101</v>
      </c>
      <c r="E4" s="115"/>
      <c r="F4" s="116"/>
      <c r="G4" s="121" t="s">
        <v>95</v>
      </c>
      <c r="H4" s="114" t="s">
        <v>101</v>
      </c>
      <c r="I4" s="115"/>
      <c r="J4" s="116"/>
      <c r="L4" s="124" t="s">
        <v>1</v>
      </c>
      <c r="M4" s="126" t="s">
        <v>91</v>
      </c>
      <c r="N4" s="127" t="s">
        <v>93</v>
      </c>
      <c r="O4" s="128" t="s">
        <v>145</v>
      </c>
      <c r="P4" s="129" t="s">
        <v>146</v>
      </c>
      <c r="R4" s="124" t="s">
        <v>1</v>
      </c>
      <c r="S4" s="126" t="s">
        <v>91</v>
      </c>
      <c r="T4" s="127" t="s">
        <v>93</v>
      </c>
      <c r="U4" s="128" t="s">
        <v>145</v>
      </c>
      <c r="V4" s="129" t="s">
        <v>146</v>
      </c>
      <c r="X4" s="124"/>
      <c r="Y4" s="238"/>
      <c r="Z4" s="239"/>
      <c r="AA4" s="240" t="s">
        <v>145</v>
      </c>
      <c r="AB4" s="241"/>
      <c r="AD4" s="124" t="s">
        <v>1</v>
      </c>
      <c r="AE4" s="126" t="s">
        <v>91</v>
      </c>
      <c r="AF4" s="127" t="s">
        <v>93</v>
      </c>
      <c r="AG4" s="128" t="s">
        <v>145</v>
      </c>
      <c r="AH4" s="129" t="s">
        <v>146</v>
      </c>
    </row>
    <row r="5" spans="2:36" ht="15.75" thickBot="1" x14ac:dyDescent="0.3">
      <c r="B5" s="102" t="s">
        <v>4</v>
      </c>
      <c r="C5" s="131">
        <v>90</v>
      </c>
      <c r="D5" s="91">
        <v>2</v>
      </c>
      <c r="E5" s="91"/>
      <c r="F5" s="95"/>
      <c r="G5" s="91">
        <v>90</v>
      </c>
      <c r="H5" s="91">
        <v>2</v>
      </c>
      <c r="I5" s="91"/>
      <c r="J5" s="95"/>
      <c r="L5" s="101" t="s">
        <v>4</v>
      </c>
      <c r="M5" s="135">
        <v>90</v>
      </c>
      <c r="N5" s="125">
        <f>AVERAGE(M5:M18)</f>
        <v>907</v>
      </c>
      <c r="O5" s="91">
        <v>90</v>
      </c>
      <c r="P5" s="95">
        <f>AVERAGE(O5:O36)</f>
        <v>59754.25</v>
      </c>
      <c r="R5" s="101" t="s">
        <v>4</v>
      </c>
      <c r="S5" s="91">
        <v>2</v>
      </c>
      <c r="T5" s="125">
        <f>AVERAGE(S5:S18)</f>
        <v>5.6428571428571432</v>
      </c>
      <c r="U5" s="91">
        <v>2</v>
      </c>
      <c r="V5" s="95">
        <f>AVERAGE(U5:U36)</f>
        <v>6.0625</v>
      </c>
      <c r="X5" s="124" t="s">
        <v>1</v>
      </c>
      <c r="Y5" s="126" t="s">
        <v>124</v>
      </c>
      <c r="Z5" s="127" t="s">
        <v>126</v>
      </c>
      <c r="AA5" s="128" t="s">
        <v>124</v>
      </c>
      <c r="AB5" s="129" t="s">
        <v>125</v>
      </c>
      <c r="AD5" s="101" t="s">
        <v>4</v>
      </c>
      <c r="AE5" s="91">
        <v>2</v>
      </c>
      <c r="AF5" s="125">
        <f>AVERAGE(AE5:AE18)</f>
        <v>2.1428571428571428</v>
      </c>
      <c r="AG5" s="91">
        <v>2</v>
      </c>
      <c r="AH5" s="95">
        <f>AVERAGE(AG5:AG36)</f>
        <v>2.21875</v>
      </c>
      <c r="AJ5">
        <f>_xlfn.STDEV.S(AE5:AE18)</f>
        <v>0.66299354413179556</v>
      </c>
    </row>
    <row r="6" spans="2:36" ht="15.75" thickBot="1" x14ac:dyDescent="0.3">
      <c r="B6" s="102" t="s">
        <v>5</v>
      </c>
      <c r="C6" s="131">
        <v>1</v>
      </c>
      <c r="D6" s="91">
        <v>2</v>
      </c>
      <c r="E6" s="91"/>
      <c r="F6" s="95"/>
      <c r="G6" s="91">
        <v>1</v>
      </c>
      <c r="H6" s="91">
        <v>2</v>
      </c>
      <c r="I6" s="91"/>
      <c r="J6" s="95"/>
      <c r="L6" s="102" t="s">
        <v>5</v>
      </c>
      <c r="M6" s="135">
        <v>1</v>
      </c>
      <c r="N6" s="95">
        <v>907</v>
      </c>
      <c r="O6" s="91">
        <v>1</v>
      </c>
      <c r="P6" s="95">
        <v>59754.25</v>
      </c>
      <c r="R6" s="102" t="s">
        <v>5</v>
      </c>
      <c r="S6" s="91">
        <v>2</v>
      </c>
      <c r="T6" s="95">
        <v>5.6428571428571432</v>
      </c>
      <c r="U6" s="91">
        <v>2</v>
      </c>
      <c r="V6" s="95">
        <v>6.0625</v>
      </c>
      <c r="X6" s="101" t="s">
        <v>4</v>
      </c>
      <c r="Y6" s="91">
        <v>0.333334926764638</v>
      </c>
      <c r="Z6" s="95">
        <v>0.57734888923794103</v>
      </c>
      <c r="AA6" s="91">
        <v>0.333334926764638</v>
      </c>
      <c r="AB6" s="95">
        <v>0.57734888923794103</v>
      </c>
      <c r="AD6" s="102" t="s">
        <v>5</v>
      </c>
      <c r="AE6" s="91">
        <v>2</v>
      </c>
      <c r="AF6" s="125">
        <v>2.1428571428571428</v>
      </c>
      <c r="AG6" s="91">
        <v>2</v>
      </c>
      <c r="AH6" s="95">
        <v>2.21875</v>
      </c>
      <c r="AJ6">
        <f>_xlfn.STDEV.S(AG5:AG36)</f>
        <v>0.5526694748103036</v>
      </c>
    </row>
    <row r="7" spans="2:36" ht="15.75" thickBot="1" x14ac:dyDescent="0.3">
      <c r="B7" s="102" t="s">
        <v>6</v>
      </c>
      <c r="C7" s="131">
        <v>2</v>
      </c>
      <c r="D7" s="91">
        <v>5</v>
      </c>
      <c r="E7" s="91"/>
      <c r="F7" s="95"/>
      <c r="G7" s="91">
        <v>2</v>
      </c>
      <c r="H7" s="91">
        <v>5</v>
      </c>
      <c r="I7" s="91"/>
      <c r="J7" s="95"/>
      <c r="L7" s="102" t="s">
        <v>6</v>
      </c>
      <c r="M7" s="135">
        <v>2</v>
      </c>
      <c r="N7" s="95">
        <v>907</v>
      </c>
      <c r="O7" s="91">
        <v>2</v>
      </c>
      <c r="P7" s="95">
        <f>P6</f>
        <v>59754.25</v>
      </c>
      <c r="R7" s="102" t="s">
        <v>6</v>
      </c>
      <c r="S7" s="91">
        <v>8</v>
      </c>
      <c r="T7" s="95">
        <v>5.6428571428571432</v>
      </c>
      <c r="U7" s="91">
        <v>8</v>
      </c>
      <c r="V7" s="95">
        <f>V6</f>
        <v>6.0625</v>
      </c>
      <c r="X7" s="102" t="s">
        <v>5</v>
      </c>
      <c r="Y7" s="91">
        <v>7.3916588828710304E-3</v>
      </c>
      <c r="Z7" s="95">
        <v>1.28001249886763E-2</v>
      </c>
      <c r="AA7" s="91">
        <v>7.3916588828710304E-3</v>
      </c>
      <c r="AB7" s="95">
        <v>1.28001249886763E-2</v>
      </c>
      <c r="AD7" s="102" t="s">
        <v>6</v>
      </c>
      <c r="AE7" s="91">
        <v>2</v>
      </c>
      <c r="AF7" s="125">
        <v>2.1428571428571428</v>
      </c>
      <c r="AG7" s="91">
        <v>2</v>
      </c>
      <c r="AH7" s="95">
        <f>AH6</f>
        <v>2.21875</v>
      </c>
    </row>
    <row r="8" spans="2:36" ht="15.75" thickBot="1" x14ac:dyDescent="0.3">
      <c r="B8" s="102" t="s">
        <v>7</v>
      </c>
      <c r="C8" s="131">
        <v>1</v>
      </c>
      <c r="D8" s="91">
        <v>5</v>
      </c>
      <c r="E8" s="91"/>
      <c r="F8" s="95"/>
      <c r="G8" s="91">
        <v>1</v>
      </c>
      <c r="H8" s="91">
        <v>5</v>
      </c>
      <c r="I8" s="91"/>
      <c r="J8" s="95"/>
      <c r="L8" s="102" t="s">
        <v>7</v>
      </c>
      <c r="M8" s="135">
        <v>1</v>
      </c>
      <c r="N8" s="95">
        <v>907</v>
      </c>
      <c r="O8" s="91">
        <v>1</v>
      </c>
      <c r="P8" s="95">
        <f>P7</f>
        <v>59754.25</v>
      </c>
      <c r="R8" s="102" t="s">
        <v>7</v>
      </c>
      <c r="S8" s="91">
        <v>8</v>
      </c>
      <c r="T8" s="95">
        <v>5.6428571428571432</v>
      </c>
      <c r="U8" s="91">
        <v>8</v>
      </c>
      <c r="V8" s="95">
        <f>V7</f>
        <v>6.0625</v>
      </c>
      <c r="X8" s="102" t="s">
        <v>6</v>
      </c>
      <c r="Y8" s="91">
        <v>8.8895714325581202E-3</v>
      </c>
      <c r="Z8" s="95">
        <v>1.17434079056025E-2</v>
      </c>
      <c r="AA8" s="91">
        <v>8.8895714325581202E-3</v>
      </c>
      <c r="AB8" s="95">
        <v>1.17434079056025E-2</v>
      </c>
      <c r="AD8" s="102" t="s">
        <v>7</v>
      </c>
      <c r="AE8" s="91">
        <v>2</v>
      </c>
      <c r="AF8" s="125">
        <v>2.1428571428571428</v>
      </c>
      <c r="AG8" s="91">
        <v>2</v>
      </c>
      <c r="AH8" s="95">
        <f>AH7</f>
        <v>2.21875</v>
      </c>
    </row>
    <row r="9" spans="2:36" ht="15.75" thickBot="1" x14ac:dyDescent="0.3">
      <c r="B9" s="102" t="s">
        <v>8</v>
      </c>
      <c r="C9" s="131">
        <v>2</v>
      </c>
      <c r="D9" s="91">
        <v>5</v>
      </c>
      <c r="E9" s="91"/>
      <c r="F9" s="95"/>
      <c r="G9" s="91">
        <v>2</v>
      </c>
      <c r="H9" s="91">
        <v>5</v>
      </c>
      <c r="I9" s="91"/>
      <c r="J9" s="95"/>
      <c r="L9" s="102" t="s">
        <v>8</v>
      </c>
      <c r="M9" s="135">
        <v>2</v>
      </c>
      <c r="N9" s="95">
        <v>907</v>
      </c>
      <c r="O9" s="91">
        <v>2</v>
      </c>
      <c r="P9" s="95">
        <f>P8</f>
        <v>59754.25</v>
      </c>
      <c r="R9" s="102" t="s">
        <v>8</v>
      </c>
      <c r="S9" s="91">
        <v>8</v>
      </c>
      <c r="T9" s="95">
        <v>5.6428571428571432</v>
      </c>
      <c r="U9" s="91">
        <v>8</v>
      </c>
      <c r="V9" s="95">
        <f>V8</f>
        <v>6.0625</v>
      </c>
      <c r="X9" s="102" t="s">
        <v>7</v>
      </c>
      <c r="Y9" s="91">
        <v>1.9295158413252501E-2</v>
      </c>
      <c r="Z9" s="95">
        <v>1.1637102287803699E-2</v>
      </c>
      <c r="AA9" s="91">
        <v>1.9295158413252501E-2</v>
      </c>
      <c r="AB9" s="95">
        <v>1.1637102287803699E-2</v>
      </c>
      <c r="AD9" s="102" t="s">
        <v>8</v>
      </c>
      <c r="AE9" s="91">
        <v>2</v>
      </c>
      <c r="AF9" s="125">
        <v>2.1428571428571428</v>
      </c>
      <c r="AG9" s="91">
        <v>2</v>
      </c>
      <c r="AH9" s="95">
        <f>AH8</f>
        <v>2.21875</v>
      </c>
    </row>
    <row r="10" spans="2:36" ht="15.75" thickBot="1" x14ac:dyDescent="0.3">
      <c r="B10" s="102" t="s">
        <v>9</v>
      </c>
      <c r="C10" s="131">
        <v>11</v>
      </c>
      <c r="D10" s="91">
        <v>4</v>
      </c>
      <c r="E10" s="91"/>
      <c r="F10" s="95"/>
      <c r="G10" s="91">
        <v>11</v>
      </c>
      <c r="H10" s="91">
        <v>4</v>
      </c>
      <c r="I10" s="91"/>
      <c r="J10" s="95"/>
      <c r="L10" s="102" t="s">
        <v>9</v>
      </c>
      <c r="M10" s="135">
        <v>11</v>
      </c>
      <c r="N10" s="95">
        <v>907</v>
      </c>
      <c r="O10" s="91">
        <v>11</v>
      </c>
      <c r="P10" s="95">
        <f t="shared" ref="P10:P36" si="0">P9</f>
        <v>59754.25</v>
      </c>
      <c r="R10" s="102" t="s">
        <v>9</v>
      </c>
      <c r="S10" s="91">
        <v>6</v>
      </c>
      <c r="T10" s="95">
        <v>5.6428571428571432</v>
      </c>
      <c r="U10" s="91">
        <v>6</v>
      </c>
      <c r="V10" s="95">
        <f t="shared" ref="V10:V36" si="1">V9</f>
        <v>6.0625</v>
      </c>
      <c r="X10" s="102" t="s">
        <v>8</v>
      </c>
      <c r="Y10" s="91">
        <v>6.1693762653360004E-3</v>
      </c>
      <c r="Z10" s="95">
        <v>1.0138340331367599E-2</v>
      </c>
      <c r="AA10" s="91">
        <v>6.1693762653360004E-3</v>
      </c>
      <c r="AB10" s="95">
        <v>1.0138340331367599E-2</v>
      </c>
      <c r="AD10" s="102" t="s">
        <v>9</v>
      </c>
      <c r="AE10" s="91">
        <v>4</v>
      </c>
      <c r="AF10" s="125">
        <v>2.1428571428571428</v>
      </c>
      <c r="AG10" s="91">
        <v>4</v>
      </c>
      <c r="AH10" s="95">
        <f t="shared" ref="AH10:AH36" si="2">AH9</f>
        <v>2.21875</v>
      </c>
      <c r="AJ10">
        <f>AVERAGE(U19:U28)</f>
        <v>7.8</v>
      </c>
    </row>
    <row r="11" spans="2:36" ht="15.75" thickBot="1" x14ac:dyDescent="0.3">
      <c r="B11" s="102" t="s">
        <v>10</v>
      </c>
      <c r="C11" s="131">
        <v>1</v>
      </c>
      <c r="D11" s="91">
        <v>5</v>
      </c>
      <c r="E11" s="91"/>
      <c r="F11" s="95"/>
      <c r="G11" s="91">
        <v>1</v>
      </c>
      <c r="H11" s="91">
        <v>5</v>
      </c>
      <c r="I11" s="91"/>
      <c r="J11" s="95"/>
      <c r="L11" s="102" t="s">
        <v>10</v>
      </c>
      <c r="M11" s="135">
        <v>1</v>
      </c>
      <c r="N11" s="95">
        <v>907</v>
      </c>
      <c r="O11" s="91">
        <v>1</v>
      </c>
      <c r="P11" s="95">
        <f t="shared" si="0"/>
        <v>59754.25</v>
      </c>
      <c r="R11" s="102" t="s">
        <v>10</v>
      </c>
      <c r="S11" s="91">
        <v>8</v>
      </c>
      <c r="T11" s="95">
        <v>5.6428571428571432</v>
      </c>
      <c r="U11" s="91">
        <v>8</v>
      </c>
      <c r="V11" s="95">
        <f t="shared" si="1"/>
        <v>6.0625</v>
      </c>
      <c r="X11" s="102" t="s">
        <v>9</v>
      </c>
      <c r="Y11" s="91">
        <v>1.9395936545627698E-2</v>
      </c>
      <c r="Z11" s="95">
        <v>1.7605356510124501E-2</v>
      </c>
      <c r="AA11" s="91">
        <v>1.9395936545627698E-2</v>
      </c>
      <c r="AB11" s="95">
        <v>1.7605356510124501E-2</v>
      </c>
      <c r="AD11" s="102" t="s">
        <v>10</v>
      </c>
      <c r="AE11" s="91">
        <v>2</v>
      </c>
      <c r="AF11" s="125">
        <v>2.1428571428571428</v>
      </c>
      <c r="AG11" s="91">
        <v>2</v>
      </c>
      <c r="AH11" s="95">
        <f t="shared" si="2"/>
        <v>2.21875</v>
      </c>
      <c r="AJ11">
        <f>AVERAGE(AG19:AG28)</f>
        <v>2.4</v>
      </c>
    </row>
    <row r="12" spans="2:36" ht="15.75" thickBot="1" x14ac:dyDescent="0.3">
      <c r="B12" s="102" t="s">
        <v>11</v>
      </c>
      <c r="C12" s="131">
        <v>1159</v>
      </c>
      <c r="D12" s="91">
        <v>2</v>
      </c>
      <c r="E12" s="91"/>
      <c r="F12" s="117"/>
      <c r="G12" s="91">
        <v>1159</v>
      </c>
      <c r="H12" s="91">
        <v>2</v>
      </c>
      <c r="I12" s="91"/>
      <c r="J12" s="117"/>
      <c r="L12" s="102" t="s">
        <v>11</v>
      </c>
      <c r="M12" s="135">
        <v>1159</v>
      </c>
      <c r="N12" s="95">
        <v>907</v>
      </c>
      <c r="O12" s="91">
        <v>1159</v>
      </c>
      <c r="P12" s="95">
        <f t="shared" si="0"/>
        <v>59754.25</v>
      </c>
      <c r="R12" s="102" t="s">
        <v>11</v>
      </c>
      <c r="S12" s="91">
        <v>1</v>
      </c>
      <c r="T12" s="95">
        <v>5.6428571428571432</v>
      </c>
      <c r="U12" s="91">
        <v>1</v>
      </c>
      <c r="V12" s="95">
        <f t="shared" si="1"/>
        <v>6.0625</v>
      </c>
      <c r="X12" s="102" t="s">
        <v>10</v>
      </c>
      <c r="Y12" s="91">
        <v>2.0198747403503799E-2</v>
      </c>
      <c r="Z12" s="95">
        <v>1.5335110490211501E-2</v>
      </c>
      <c r="AA12" s="91">
        <v>2.0198747403503799E-2</v>
      </c>
      <c r="AB12" s="95">
        <v>1.5335110490211501E-2</v>
      </c>
      <c r="AD12" s="102" t="s">
        <v>11</v>
      </c>
      <c r="AE12" s="91">
        <v>1</v>
      </c>
      <c r="AF12" s="125">
        <v>2.1428571428571428</v>
      </c>
      <c r="AG12" s="91">
        <v>1</v>
      </c>
      <c r="AH12" s="95">
        <f t="shared" si="2"/>
        <v>2.21875</v>
      </c>
    </row>
    <row r="13" spans="2:36" ht="15.75" thickBot="1" x14ac:dyDescent="0.3">
      <c r="B13" s="102" t="s">
        <v>12</v>
      </c>
      <c r="C13" s="131">
        <v>333</v>
      </c>
      <c r="D13" s="91">
        <v>4</v>
      </c>
      <c r="E13" s="91"/>
      <c r="F13" s="95"/>
      <c r="G13" s="91">
        <v>333</v>
      </c>
      <c r="H13" s="91">
        <v>4</v>
      </c>
      <c r="I13" s="91"/>
      <c r="J13" s="95"/>
      <c r="L13" s="102" t="s">
        <v>12</v>
      </c>
      <c r="M13" s="135">
        <v>333</v>
      </c>
      <c r="N13" s="95">
        <v>907</v>
      </c>
      <c r="O13" s="91">
        <v>333</v>
      </c>
      <c r="P13" s="95">
        <f t="shared" si="0"/>
        <v>59754.25</v>
      </c>
      <c r="R13" s="102" t="s">
        <v>12</v>
      </c>
      <c r="S13" s="91">
        <v>13</v>
      </c>
      <c r="T13" s="95">
        <v>5.6428571428571432</v>
      </c>
      <c r="U13" s="91">
        <v>13</v>
      </c>
      <c r="V13" s="95">
        <f t="shared" si="1"/>
        <v>6.0625</v>
      </c>
      <c r="X13" s="102" t="s">
        <v>11</v>
      </c>
      <c r="Y13" s="91">
        <v>1.1208399999999999E-3</v>
      </c>
      <c r="Z13" s="95">
        <v>1.5851070000000001E-3</v>
      </c>
      <c r="AA13" s="91">
        <v>1.1208399999999999E-3</v>
      </c>
      <c r="AB13" s="95">
        <v>1.5851070000000001E-3</v>
      </c>
      <c r="AD13" s="102" t="s">
        <v>12</v>
      </c>
      <c r="AE13" s="91">
        <v>2</v>
      </c>
      <c r="AF13" s="125">
        <v>2.1428571428571428</v>
      </c>
      <c r="AG13" s="91">
        <v>2</v>
      </c>
      <c r="AH13" s="95">
        <f t="shared" si="2"/>
        <v>2.21875</v>
      </c>
      <c r="AJ13">
        <f>AVERAGE(U29:U36)</f>
        <v>4.625</v>
      </c>
    </row>
    <row r="14" spans="2:36" ht="15.75" thickBot="1" x14ac:dyDescent="0.3">
      <c r="B14" s="102" t="s">
        <v>13</v>
      </c>
      <c r="C14" s="131">
        <v>9054</v>
      </c>
      <c r="D14" s="91">
        <v>2</v>
      </c>
      <c r="E14" s="91"/>
      <c r="F14" s="95"/>
      <c r="G14" s="91">
        <v>9054</v>
      </c>
      <c r="H14" s="91">
        <v>2</v>
      </c>
      <c r="I14" s="91"/>
      <c r="J14" s="95"/>
      <c r="L14" s="102" t="s">
        <v>13</v>
      </c>
      <c r="M14" s="135">
        <v>9054</v>
      </c>
      <c r="N14" s="95">
        <v>907</v>
      </c>
      <c r="O14" s="91">
        <v>9054</v>
      </c>
      <c r="P14" s="95">
        <f t="shared" si="0"/>
        <v>59754.25</v>
      </c>
      <c r="R14" s="102" t="s">
        <v>13</v>
      </c>
      <c r="S14" s="91">
        <v>8</v>
      </c>
      <c r="T14" s="95">
        <v>5.6428571428571432</v>
      </c>
      <c r="U14" s="91">
        <v>8</v>
      </c>
      <c r="V14" s="95">
        <f t="shared" si="1"/>
        <v>6.0625</v>
      </c>
      <c r="X14" s="102" t="s">
        <v>12</v>
      </c>
      <c r="Y14" s="91">
        <v>0.333544800392503</v>
      </c>
      <c r="Z14" s="95">
        <v>0.57716721120390002</v>
      </c>
      <c r="AA14" s="91">
        <v>0.333544800392503</v>
      </c>
      <c r="AB14" s="95">
        <v>0.57716721120390002</v>
      </c>
      <c r="AD14" s="102" t="s">
        <v>13</v>
      </c>
      <c r="AE14" s="91">
        <v>2</v>
      </c>
      <c r="AF14" s="125">
        <v>2.1428571428571428</v>
      </c>
      <c r="AG14" s="91">
        <v>2</v>
      </c>
      <c r="AH14" s="95">
        <f t="shared" si="2"/>
        <v>2.21875</v>
      </c>
      <c r="AJ14">
        <f>AVERAGE(AG29:AG36)</f>
        <v>2.125</v>
      </c>
    </row>
    <row r="15" spans="2:36" ht="15.75" thickBot="1" x14ac:dyDescent="0.3">
      <c r="B15" s="102" t="s">
        <v>14</v>
      </c>
      <c r="C15" s="131">
        <v>3</v>
      </c>
      <c r="D15" s="91">
        <v>2</v>
      </c>
      <c r="E15" s="91"/>
      <c r="F15" s="95"/>
      <c r="G15" s="91">
        <v>3</v>
      </c>
      <c r="H15" s="91">
        <v>2</v>
      </c>
      <c r="I15" s="91"/>
      <c r="J15" s="95"/>
      <c r="L15" s="102" t="s">
        <v>14</v>
      </c>
      <c r="M15" s="135">
        <v>3</v>
      </c>
      <c r="N15" s="95">
        <v>907</v>
      </c>
      <c r="O15" s="91">
        <v>3</v>
      </c>
      <c r="P15" s="95">
        <f t="shared" si="0"/>
        <v>59754.25</v>
      </c>
      <c r="R15" s="102" t="s">
        <v>14</v>
      </c>
      <c r="S15" s="91">
        <v>2</v>
      </c>
      <c r="T15" s="95">
        <v>5.6428571428571432</v>
      </c>
      <c r="U15" s="91">
        <v>2</v>
      </c>
      <c r="V15" s="95">
        <f t="shared" si="1"/>
        <v>6.0625</v>
      </c>
      <c r="X15" s="102" t="s">
        <v>13</v>
      </c>
      <c r="Y15" s="91">
        <v>1.6010968318477301E-2</v>
      </c>
      <c r="Z15" s="95">
        <v>8.9269497975264494E-3</v>
      </c>
      <c r="AA15" s="91">
        <v>1.6010968318477301E-2</v>
      </c>
      <c r="AB15" s="95">
        <v>8.9269497975264494E-3</v>
      </c>
      <c r="AD15" s="102" t="s">
        <v>14</v>
      </c>
      <c r="AE15" s="91">
        <v>2</v>
      </c>
      <c r="AF15" s="125">
        <v>2.1428571428571428</v>
      </c>
      <c r="AG15" s="91">
        <v>2</v>
      </c>
      <c r="AH15" s="95">
        <f t="shared" si="2"/>
        <v>2.21875</v>
      </c>
    </row>
    <row r="16" spans="2:36" ht="15.75" thickBot="1" x14ac:dyDescent="0.3">
      <c r="B16" s="102" t="s">
        <v>15</v>
      </c>
      <c r="C16" s="131">
        <v>393</v>
      </c>
      <c r="D16" s="91">
        <v>3</v>
      </c>
      <c r="E16" s="91"/>
      <c r="F16" s="95"/>
      <c r="G16" s="91">
        <v>393</v>
      </c>
      <c r="H16" s="91">
        <v>3</v>
      </c>
      <c r="I16" s="91"/>
      <c r="J16" s="95"/>
      <c r="L16" s="102" t="s">
        <v>15</v>
      </c>
      <c r="M16" s="135">
        <v>393</v>
      </c>
      <c r="N16" s="95">
        <v>907</v>
      </c>
      <c r="O16" s="91">
        <v>393</v>
      </c>
      <c r="P16" s="95">
        <f t="shared" si="0"/>
        <v>59754.25</v>
      </c>
      <c r="R16" s="102" t="s">
        <v>15</v>
      </c>
      <c r="S16" s="91">
        <v>5</v>
      </c>
      <c r="T16" s="95">
        <v>5.6428571428571432</v>
      </c>
      <c r="U16" s="91">
        <v>5</v>
      </c>
      <c r="V16" s="95">
        <f t="shared" si="1"/>
        <v>6.0625</v>
      </c>
      <c r="X16" s="102" t="s">
        <v>14</v>
      </c>
      <c r="Y16" s="91">
        <v>6.62849166220905E-3</v>
      </c>
      <c r="Z16" s="95">
        <v>7.4170772554221004E-3</v>
      </c>
      <c r="AA16" s="91">
        <v>6.62849166220905E-3</v>
      </c>
      <c r="AB16" s="95">
        <v>7.4170772554221004E-3</v>
      </c>
      <c r="AD16" s="102" t="s">
        <v>15</v>
      </c>
      <c r="AE16" s="91">
        <v>3</v>
      </c>
      <c r="AF16" s="125">
        <v>2.1428571428571428</v>
      </c>
      <c r="AG16" s="91">
        <v>3</v>
      </c>
      <c r="AH16" s="95">
        <f t="shared" si="2"/>
        <v>2.21875</v>
      </c>
    </row>
    <row r="17" spans="2:34" ht="15.75" thickBot="1" x14ac:dyDescent="0.3">
      <c r="B17" s="102" t="s">
        <v>16</v>
      </c>
      <c r="C17" s="131">
        <v>28</v>
      </c>
      <c r="D17" s="91">
        <v>3</v>
      </c>
      <c r="E17" s="91"/>
      <c r="F17" s="95"/>
      <c r="G17" s="91">
        <v>28</v>
      </c>
      <c r="H17" s="91">
        <v>3</v>
      </c>
      <c r="I17" s="91"/>
      <c r="J17" s="95"/>
      <c r="L17" s="102" t="s">
        <v>16</v>
      </c>
      <c r="M17" s="135">
        <v>28</v>
      </c>
      <c r="N17" s="95">
        <v>907</v>
      </c>
      <c r="O17" s="91">
        <v>28</v>
      </c>
      <c r="P17" s="95">
        <f t="shared" si="0"/>
        <v>59754.25</v>
      </c>
      <c r="R17" s="102" t="s">
        <v>16</v>
      </c>
      <c r="S17" s="91">
        <v>5</v>
      </c>
      <c r="T17" s="95">
        <v>5.6428571428571432</v>
      </c>
      <c r="U17" s="91">
        <v>5</v>
      </c>
      <c r="V17" s="95">
        <f t="shared" si="1"/>
        <v>6.0625</v>
      </c>
      <c r="X17" s="102" t="s">
        <v>15</v>
      </c>
      <c r="Y17" s="91">
        <v>1.2174230318439699E-2</v>
      </c>
      <c r="Z17" s="95">
        <v>8.5514545355067292E-3</v>
      </c>
      <c r="AA17" s="91">
        <v>1.2174230318439699E-2</v>
      </c>
      <c r="AB17" s="95">
        <v>8.5514545355067292E-3</v>
      </c>
      <c r="AD17" s="102" t="s">
        <v>16</v>
      </c>
      <c r="AE17" s="91">
        <v>2</v>
      </c>
      <c r="AF17" s="125">
        <v>2.1428571428571428</v>
      </c>
      <c r="AG17" s="91">
        <v>2</v>
      </c>
      <c r="AH17" s="95">
        <f t="shared" si="2"/>
        <v>2.21875</v>
      </c>
    </row>
    <row r="18" spans="2:34" ht="15.75" thickBot="1" x14ac:dyDescent="0.3">
      <c r="B18" s="102" t="s">
        <v>17</v>
      </c>
      <c r="C18" s="131">
        <v>1620</v>
      </c>
      <c r="D18" s="91">
        <v>3</v>
      </c>
      <c r="E18" s="91"/>
      <c r="F18" s="95"/>
      <c r="G18" s="91">
        <v>1620</v>
      </c>
      <c r="H18" s="91">
        <v>3</v>
      </c>
      <c r="I18" s="91"/>
      <c r="J18" s="95"/>
      <c r="L18" s="102" t="s">
        <v>17</v>
      </c>
      <c r="M18" s="135">
        <v>1620</v>
      </c>
      <c r="N18" s="95">
        <v>907</v>
      </c>
      <c r="O18" s="91">
        <v>1620</v>
      </c>
      <c r="P18" s="95">
        <f t="shared" si="0"/>
        <v>59754.25</v>
      </c>
      <c r="R18" s="102" t="s">
        <v>17</v>
      </c>
      <c r="S18" s="91">
        <v>3</v>
      </c>
      <c r="T18" s="95">
        <v>5.6428571428571432</v>
      </c>
      <c r="U18" s="91">
        <v>3</v>
      </c>
      <c r="V18" s="95">
        <f t="shared" si="1"/>
        <v>6.0625</v>
      </c>
      <c r="X18" s="102" t="s">
        <v>16</v>
      </c>
      <c r="Y18" s="91">
        <v>1.4815076195692899E-2</v>
      </c>
      <c r="Z18" s="95">
        <v>1.5589935159129801E-2</v>
      </c>
      <c r="AA18" s="91">
        <v>1.4815076195692899E-2</v>
      </c>
      <c r="AB18" s="95">
        <v>1.5589935159129801E-2</v>
      </c>
      <c r="AD18" s="102" t="s">
        <v>17</v>
      </c>
      <c r="AE18" s="91">
        <v>2</v>
      </c>
      <c r="AF18" s="125">
        <v>2.1428571428571428</v>
      </c>
      <c r="AG18" s="91">
        <v>2</v>
      </c>
      <c r="AH18" s="95">
        <f t="shared" si="2"/>
        <v>2.21875</v>
      </c>
    </row>
    <row r="19" spans="2:34" x14ac:dyDescent="0.25">
      <c r="B19" s="102" t="s">
        <v>23</v>
      </c>
      <c r="C19" s="91"/>
      <c r="D19" s="91"/>
      <c r="E19" s="91"/>
      <c r="F19" s="95"/>
      <c r="G19" s="91">
        <v>1000</v>
      </c>
      <c r="H19" s="91">
        <v>5</v>
      </c>
      <c r="I19" s="91"/>
      <c r="J19" s="95"/>
      <c r="L19" s="102" t="s">
        <v>23</v>
      </c>
      <c r="M19" s="91"/>
      <c r="N19" s="95"/>
      <c r="O19" s="91">
        <v>1000</v>
      </c>
      <c r="P19" s="95">
        <f t="shared" si="0"/>
        <v>59754.25</v>
      </c>
      <c r="R19" s="102" t="s">
        <v>23</v>
      </c>
      <c r="S19" s="91"/>
      <c r="T19" s="95"/>
      <c r="U19" s="91">
        <v>5</v>
      </c>
      <c r="V19" s="95">
        <f t="shared" si="1"/>
        <v>6.0625</v>
      </c>
      <c r="X19" s="102" t="s">
        <v>17</v>
      </c>
      <c r="Y19" s="91">
        <v>1.2452044721721499E-2</v>
      </c>
      <c r="Z19" s="95">
        <v>1.48394447644138E-2</v>
      </c>
      <c r="AA19" s="91">
        <v>1.2452044721721499E-2</v>
      </c>
      <c r="AB19" s="95">
        <v>1.48394447644138E-2</v>
      </c>
      <c r="AD19" s="102" t="s">
        <v>23</v>
      </c>
      <c r="AE19" s="91"/>
      <c r="AF19" s="95"/>
      <c r="AG19" s="91">
        <v>2</v>
      </c>
      <c r="AH19" s="95">
        <f t="shared" si="2"/>
        <v>2.21875</v>
      </c>
    </row>
    <row r="20" spans="2:34" x14ac:dyDescent="0.25">
      <c r="B20" s="102" t="s">
        <v>24</v>
      </c>
      <c r="C20" s="91"/>
      <c r="D20" s="91"/>
      <c r="E20" s="91"/>
      <c r="F20" s="95"/>
      <c r="G20" s="91">
        <v>4</v>
      </c>
      <c r="H20" s="91">
        <v>5</v>
      </c>
      <c r="I20" s="91"/>
      <c r="J20" s="95"/>
      <c r="L20" s="102" t="s">
        <v>24</v>
      </c>
      <c r="M20" s="91"/>
      <c r="N20" s="95"/>
      <c r="O20" s="91">
        <v>4</v>
      </c>
      <c r="P20" s="95">
        <f t="shared" si="0"/>
        <v>59754.25</v>
      </c>
      <c r="R20" s="102" t="s">
        <v>24</v>
      </c>
      <c r="S20" s="91"/>
      <c r="T20" s="95"/>
      <c r="U20" s="91">
        <v>5</v>
      </c>
      <c r="V20" s="95">
        <f t="shared" si="1"/>
        <v>6.0625</v>
      </c>
      <c r="X20" s="102" t="s">
        <v>23</v>
      </c>
      <c r="Y20" s="91"/>
      <c r="Z20" s="95"/>
      <c r="AA20" s="91">
        <v>1.0779221924309501E-2</v>
      </c>
      <c r="AB20" s="95">
        <v>8.55962285729156E-3</v>
      </c>
      <c r="AD20" s="102" t="s">
        <v>24</v>
      </c>
      <c r="AE20" s="91"/>
      <c r="AF20" s="95"/>
      <c r="AG20" s="91">
        <v>3</v>
      </c>
      <c r="AH20" s="95">
        <f t="shared" si="2"/>
        <v>2.21875</v>
      </c>
    </row>
    <row r="21" spans="2:34" x14ac:dyDescent="0.25">
      <c r="B21" s="102" t="s">
        <v>25</v>
      </c>
      <c r="C21" s="91"/>
      <c r="D21" s="91"/>
      <c r="E21" s="91"/>
      <c r="F21" s="95"/>
      <c r="G21" s="91">
        <v>9</v>
      </c>
      <c r="H21" s="91">
        <v>3</v>
      </c>
      <c r="I21" s="91"/>
      <c r="J21" s="95"/>
      <c r="L21" s="102" t="s">
        <v>25</v>
      </c>
      <c r="M21" s="91"/>
      <c r="N21" s="95"/>
      <c r="O21" s="91">
        <v>9</v>
      </c>
      <c r="P21" s="95">
        <f t="shared" si="0"/>
        <v>59754.25</v>
      </c>
      <c r="R21" s="102" t="s">
        <v>25</v>
      </c>
      <c r="S21" s="91"/>
      <c r="T21" s="95"/>
      <c r="U21" s="91">
        <v>8</v>
      </c>
      <c r="V21" s="95">
        <f t="shared" si="1"/>
        <v>6.0625</v>
      </c>
      <c r="X21" s="102" t="s">
        <v>24</v>
      </c>
      <c r="Y21" s="91"/>
      <c r="Z21" s="95"/>
      <c r="AA21" s="91">
        <v>9.7246597620519303E-3</v>
      </c>
      <c r="AB21" s="95">
        <v>8.0409787742798892E-3</v>
      </c>
      <c r="AD21" s="102" t="s">
        <v>25</v>
      </c>
      <c r="AE21" s="91"/>
      <c r="AF21" s="95"/>
      <c r="AG21" s="91">
        <v>3</v>
      </c>
      <c r="AH21" s="95">
        <f t="shared" si="2"/>
        <v>2.21875</v>
      </c>
    </row>
    <row r="22" spans="2:34" x14ac:dyDescent="0.25">
      <c r="B22" s="102" t="s">
        <v>26</v>
      </c>
      <c r="C22" s="91"/>
      <c r="D22" s="91"/>
      <c r="E22" s="91"/>
      <c r="F22" s="95"/>
      <c r="G22" s="91">
        <v>50</v>
      </c>
      <c r="H22" s="91">
        <v>8</v>
      </c>
      <c r="I22" s="91"/>
      <c r="J22" s="95"/>
      <c r="L22" s="102" t="s">
        <v>26</v>
      </c>
      <c r="M22" s="91"/>
      <c r="N22" s="95"/>
      <c r="O22" s="91">
        <v>50</v>
      </c>
      <c r="P22" s="95">
        <f t="shared" si="0"/>
        <v>59754.25</v>
      </c>
      <c r="R22" s="102" t="s">
        <v>26</v>
      </c>
      <c r="S22" s="91"/>
      <c r="T22" s="95"/>
      <c r="U22" s="91">
        <v>8</v>
      </c>
      <c r="V22" s="95">
        <f t="shared" si="1"/>
        <v>6.0625</v>
      </c>
      <c r="X22" s="102" t="s">
        <v>25</v>
      </c>
      <c r="Y22" s="91"/>
      <c r="Z22" s="95"/>
      <c r="AA22" s="91">
        <v>2.0214493483209601E-2</v>
      </c>
      <c r="AB22" s="95">
        <v>1.47078906056638E-2</v>
      </c>
      <c r="AD22" s="102" t="s">
        <v>26</v>
      </c>
      <c r="AE22" s="91"/>
      <c r="AF22" s="95"/>
      <c r="AG22" s="91">
        <v>3</v>
      </c>
      <c r="AH22" s="95">
        <f t="shared" si="2"/>
        <v>2.21875</v>
      </c>
    </row>
    <row r="23" spans="2:34" x14ac:dyDescent="0.25">
      <c r="B23" s="102" t="s">
        <v>27</v>
      </c>
      <c r="C23" s="91"/>
      <c r="D23" s="91"/>
      <c r="E23" s="91"/>
      <c r="F23" s="95"/>
      <c r="G23" s="91">
        <v>500</v>
      </c>
      <c r="H23" s="91">
        <v>8</v>
      </c>
      <c r="I23" s="91"/>
      <c r="J23" s="95"/>
      <c r="L23" s="102" t="s">
        <v>27</v>
      </c>
      <c r="M23" s="91"/>
      <c r="N23" s="95"/>
      <c r="O23" s="91">
        <v>500</v>
      </c>
      <c r="P23" s="95">
        <f t="shared" si="0"/>
        <v>59754.25</v>
      </c>
      <c r="R23" s="102" t="s">
        <v>27</v>
      </c>
      <c r="S23" s="91"/>
      <c r="T23" s="95"/>
      <c r="U23" s="91">
        <v>13</v>
      </c>
      <c r="V23" s="95">
        <f t="shared" si="1"/>
        <v>6.0625</v>
      </c>
      <c r="X23" s="102" t="s">
        <v>26</v>
      </c>
      <c r="Y23" s="91"/>
      <c r="Z23" s="95"/>
      <c r="AA23" s="91">
        <v>1.24126951382893E-2</v>
      </c>
      <c r="AB23" s="95">
        <v>1.5408136627714401E-2</v>
      </c>
      <c r="AD23" s="102" t="s">
        <v>27</v>
      </c>
      <c r="AE23" s="91"/>
      <c r="AF23" s="95"/>
      <c r="AG23" s="91">
        <v>2</v>
      </c>
      <c r="AH23" s="95">
        <f t="shared" si="2"/>
        <v>2.21875</v>
      </c>
    </row>
    <row r="24" spans="2:34" x14ac:dyDescent="0.25">
      <c r="B24" s="102" t="s">
        <v>28</v>
      </c>
      <c r="C24" s="91"/>
      <c r="D24" s="91"/>
      <c r="E24" s="91"/>
      <c r="F24" s="95"/>
      <c r="G24" s="91">
        <v>148</v>
      </c>
      <c r="H24" s="91">
        <v>2</v>
      </c>
      <c r="I24" s="91"/>
      <c r="J24" s="95"/>
      <c r="L24" s="102" t="s">
        <v>28</v>
      </c>
      <c r="M24" s="91"/>
      <c r="N24" s="95"/>
      <c r="O24" s="91">
        <v>148</v>
      </c>
      <c r="P24" s="95">
        <f t="shared" si="0"/>
        <v>59754.25</v>
      </c>
      <c r="R24" s="102" t="s">
        <v>28</v>
      </c>
      <c r="S24" s="91"/>
      <c r="T24" s="95"/>
      <c r="U24" s="91">
        <v>8</v>
      </c>
      <c r="V24" s="95">
        <f t="shared" si="1"/>
        <v>6.0625</v>
      </c>
      <c r="X24" s="102" t="s">
        <v>27</v>
      </c>
      <c r="Y24" s="91"/>
      <c r="Z24" s="95"/>
      <c r="AA24" s="91">
        <v>1.86552281437928E-2</v>
      </c>
      <c r="AB24" s="95">
        <v>1.86079392670375E-2</v>
      </c>
      <c r="AD24" s="102" t="s">
        <v>28</v>
      </c>
      <c r="AE24" s="91"/>
      <c r="AF24" s="95"/>
      <c r="AG24" s="91">
        <v>2</v>
      </c>
      <c r="AH24" s="95">
        <f t="shared" si="2"/>
        <v>2.21875</v>
      </c>
    </row>
    <row r="25" spans="2:34" x14ac:dyDescent="0.25">
      <c r="B25" s="102" t="s">
        <v>29</v>
      </c>
      <c r="C25" s="91"/>
      <c r="D25" s="91"/>
      <c r="E25" s="91"/>
      <c r="F25" s="95"/>
      <c r="G25" s="91">
        <v>112</v>
      </c>
      <c r="H25" s="91">
        <v>2</v>
      </c>
      <c r="I25" s="91"/>
      <c r="J25" s="95"/>
      <c r="L25" s="102" t="s">
        <v>29</v>
      </c>
      <c r="M25" s="91"/>
      <c r="N25" s="95"/>
      <c r="O25" s="91">
        <v>112</v>
      </c>
      <c r="P25" s="95">
        <f t="shared" si="0"/>
        <v>59754.25</v>
      </c>
      <c r="R25" s="102" t="s">
        <v>29</v>
      </c>
      <c r="S25" s="91"/>
      <c r="T25" s="95"/>
      <c r="U25" s="91">
        <v>5</v>
      </c>
      <c r="V25" s="95">
        <f t="shared" si="1"/>
        <v>6.0625</v>
      </c>
      <c r="X25" s="102" t="s">
        <v>28</v>
      </c>
      <c r="Y25" s="91"/>
      <c r="Z25" s="95"/>
      <c r="AA25" s="91">
        <v>2.29711319545319E-2</v>
      </c>
      <c r="AB25" s="95">
        <v>7.0587250598913203E-3</v>
      </c>
      <c r="AD25" s="102" t="s">
        <v>29</v>
      </c>
      <c r="AE25" s="91"/>
      <c r="AF25" s="95"/>
      <c r="AG25" s="91">
        <v>2</v>
      </c>
      <c r="AH25" s="95">
        <f t="shared" si="2"/>
        <v>2.21875</v>
      </c>
    </row>
    <row r="26" spans="2:34" x14ac:dyDescent="0.25">
      <c r="B26" s="102" t="s">
        <v>30</v>
      </c>
      <c r="C26" s="91"/>
      <c r="D26" s="91"/>
      <c r="E26" s="91"/>
      <c r="F26" s="95"/>
      <c r="G26" s="91">
        <v>3067</v>
      </c>
      <c r="H26" s="91">
        <v>3</v>
      </c>
      <c r="I26" s="91"/>
      <c r="J26" s="95"/>
      <c r="L26" s="102" t="s">
        <v>30</v>
      </c>
      <c r="M26" s="91"/>
      <c r="N26" s="95"/>
      <c r="O26" s="91">
        <v>3067</v>
      </c>
      <c r="P26" s="95">
        <f t="shared" si="0"/>
        <v>59754.25</v>
      </c>
      <c r="R26" s="102" t="s">
        <v>30</v>
      </c>
      <c r="S26" s="91"/>
      <c r="T26" s="95"/>
      <c r="U26" s="91">
        <v>13</v>
      </c>
      <c r="V26" s="95">
        <f t="shared" si="1"/>
        <v>6.0625</v>
      </c>
      <c r="X26" s="102" t="s">
        <v>29</v>
      </c>
      <c r="Y26" s="91"/>
      <c r="Z26" s="95"/>
      <c r="AA26" s="91">
        <v>1.48157491560341E-2</v>
      </c>
      <c r="AB26" s="95">
        <v>1.39318952005539E-2</v>
      </c>
      <c r="AD26" s="102" t="s">
        <v>30</v>
      </c>
      <c r="AE26" s="91"/>
      <c r="AF26" s="95"/>
      <c r="AG26" s="91">
        <v>2</v>
      </c>
      <c r="AH26" s="95">
        <f t="shared" si="2"/>
        <v>2.21875</v>
      </c>
    </row>
    <row r="27" spans="2:34" x14ac:dyDescent="0.25">
      <c r="B27" s="102" t="s">
        <v>31</v>
      </c>
      <c r="C27" s="91"/>
      <c r="D27" s="91"/>
      <c r="E27" s="91"/>
      <c r="F27" s="95"/>
      <c r="G27" s="91">
        <v>100</v>
      </c>
      <c r="H27" s="91">
        <v>3</v>
      </c>
      <c r="I27" s="91"/>
      <c r="J27" s="95"/>
      <c r="L27" s="102" t="s">
        <v>31</v>
      </c>
      <c r="M27" s="91"/>
      <c r="N27" s="95"/>
      <c r="O27" s="91">
        <v>100</v>
      </c>
      <c r="P27" s="95">
        <f t="shared" si="0"/>
        <v>59754.25</v>
      </c>
      <c r="R27" s="102" t="s">
        <v>31</v>
      </c>
      <c r="S27" s="91"/>
      <c r="T27" s="95"/>
      <c r="U27" s="91">
        <v>8</v>
      </c>
      <c r="V27" s="95">
        <f t="shared" si="1"/>
        <v>6.0625</v>
      </c>
      <c r="X27" s="102" t="s">
        <v>30</v>
      </c>
      <c r="Y27" s="91"/>
      <c r="Z27" s="95"/>
      <c r="AA27" s="91">
        <v>1.2449596207413999E-2</v>
      </c>
      <c r="AB27" s="95">
        <v>1.8444083250857699E-2</v>
      </c>
      <c r="AD27" s="102" t="s">
        <v>31</v>
      </c>
      <c r="AE27" s="91"/>
      <c r="AF27" s="95"/>
      <c r="AG27" s="91">
        <v>2</v>
      </c>
      <c r="AH27" s="95">
        <f t="shared" si="2"/>
        <v>2.21875</v>
      </c>
    </row>
    <row r="28" spans="2:34" x14ac:dyDescent="0.25">
      <c r="B28" s="102" t="s">
        <v>32</v>
      </c>
      <c r="C28" s="91"/>
      <c r="D28" s="91"/>
      <c r="E28" s="91"/>
      <c r="F28" s="95"/>
      <c r="G28" s="91">
        <v>102</v>
      </c>
      <c r="H28" s="91">
        <v>3</v>
      </c>
      <c r="I28" s="91"/>
      <c r="J28" s="95"/>
      <c r="L28" s="102" t="s">
        <v>32</v>
      </c>
      <c r="M28" s="91"/>
      <c r="N28" s="95"/>
      <c r="O28" s="91">
        <v>102</v>
      </c>
      <c r="P28" s="95">
        <f t="shared" si="0"/>
        <v>59754.25</v>
      </c>
      <c r="R28" s="102" t="s">
        <v>32</v>
      </c>
      <c r="S28" s="91"/>
      <c r="T28" s="95"/>
      <c r="U28" s="91">
        <v>5</v>
      </c>
      <c r="V28" s="95">
        <f t="shared" si="1"/>
        <v>6.0625</v>
      </c>
      <c r="X28" s="102" t="s">
        <v>31</v>
      </c>
      <c r="Y28" s="91"/>
      <c r="Z28" s="95"/>
      <c r="AA28" s="91">
        <v>1.10726203164012E-2</v>
      </c>
      <c r="AB28" s="95">
        <v>8.8030193910622594E-3</v>
      </c>
      <c r="AD28" s="102" t="s">
        <v>32</v>
      </c>
      <c r="AE28" s="91"/>
      <c r="AF28" s="95"/>
      <c r="AG28" s="91">
        <v>3</v>
      </c>
      <c r="AH28" s="95">
        <f t="shared" si="2"/>
        <v>2.21875</v>
      </c>
    </row>
    <row r="29" spans="2:34" x14ac:dyDescent="0.25">
      <c r="B29" s="102" t="s">
        <v>137</v>
      </c>
      <c r="C29" s="91"/>
      <c r="D29" s="91"/>
      <c r="E29" s="91"/>
      <c r="F29" s="95"/>
      <c r="G29" s="91">
        <v>227192</v>
      </c>
      <c r="H29" s="91">
        <v>3</v>
      </c>
      <c r="I29" s="91"/>
      <c r="J29" s="95"/>
      <c r="L29" s="102" t="s">
        <v>137</v>
      </c>
      <c r="M29" s="91"/>
      <c r="N29" s="95"/>
      <c r="O29" s="91">
        <v>227192</v>
      </c>
      <c r="P29" s="95">
        <f t="shared" si="0"/>
        <v>59754.25</v>
      </c>
      <c r="R29" s="102" t="s">
        <v>137</v>
      </c>
      <c r="S29" s="91"/>
      <c r="T29" s="95"/>
      <c r="U29" s="91">
        <v>3</v>
      </c>
      <c r="V29" s="95">
        <f t="shared" si="1"/>
        <v>6.0625</v>
      </c>
      <c r="X29" s="102" t="s">
        <v>32</v>
      </c>
      <c r="Y29" s="91"/>
      <c r="Z29" s="95"/>
      <c r="AA29" s="91">
        <v>2.71204835184931E-3</v>
      </c>
      <c r="AB29" s="95">
        <v>3.57522785935044E-3</v>
      </c>
      <c r="AD29" s="102" t="s">
        <v>137</v>
      </c>
      <c r="AE29" s="91"/>
      <c r="AF29" s="95"/>
      <c r="AG29" s="91">
        <v>2</v>
      </c>
      <c r="AH29" s="95">
        <f t="shared" si="2"/>
        <v>2.21875</v>
      </c>
    </row>
    <row r="30" spans="2:34" x14ac:dyDescent="0.25">
      <c r="B30" s="102" t="s">
        <v>138</v>
      </c>
      <c r="C30" s="91"/>
      <c r="D30" s="91"/>
      <c r="E30" s="91"/>
      <c r="F30" s="95"/>
      <c r="G30" s="91">
        <v>152899</v>
      </c>
      <c r="H30" s="91">
        <v>3</v>
      </c>
      <c r="I30" s="91"/>
      <c r="J30" s="95"/>
      <c r="L30" s="102" t="s">
        <v>138</v>
      </c>
      <c r="M30" s="91"/>
      <c r="N30" s="95"/>
      <c r="O30" s="91">
        <v>152899</v>
      </c>
      <c r="P30" s="95">
        <f t="shared" si="0"/>
        <v>59754.25</v>
      </c>
      <c r="R30" s="102" t="s">
        <v>138</v>
      </c>
      <c r="S30" s="91"/>
      <c r="T30" s="95"/>
      <c r="U30" s="91">
        <v>3</v>
      </c>
      <c r="V30" s="95">
        <f t="shared" si="1"/>
        <v>6.0625</v>
      </c>
      <c r="X30" s="102" t="s">
        <v>137</v>
      </c>
      <c r="Y30" s="91"/>
      <c r="Z30" s="95"/>
      <c r="AA30" s="91">
        <v>0.19222037047243401</v>
      </c>
      <c r="AB30" s="95">
        <v>0.40024049826035701</v>
      </c>
      <c r="AD30" s="102" t="s">
        <v>138</v>
      </c>
      <c r="AE30" s="91"/>
      <c r="AF30" s="95"/>
      <c r="AG30" s="91">
        <v>2</v>
      </c>
      <c r="AH30" s="95">
        <f t="shared" si="2"/>
        <v>2.21875</v>
      </c>
    </row>
    <row r="31" spans="2:34" x14ac:dyDescent="0.25">
      <c r="B31" s="102" t="s">
        <v>139</v>
      </c>
      <c r="C31" s="91"/>
      <c r="D31" s="91"/>
      <c r="E31" s="91"/>
      <c r="F31" s="95"/>
      <c r="G31" s="91">
        <v>257158</v>
      </c>
      <c r="H31" s="91">
        <v>3</v>
      </c>
      <c r="I31" s="91"/>
      <c r="J31" s="95"/>
      <c r="L31" s="102" t="s">
        <v>139</v>
      </c>
      <c r="M31" s="91"/>
      <c r="N31" s="95"/>
      <c r="O31" s="91">
        <v>257158</v>
      </c>
      <c r="P31" s="95">
        <f t="shared" si="0"/>
        <v>59754.25</v>
      </c>
      <c r="R31" s="102" t="s">
        <v>139</v>
      </c>
      <c r="S31" s="91"/>
      <c r="T31" s="95"/>
      <c r="U31" s="91">
        <v>3</v>
      </c>
      <c r="V31" s="95">
        <f t="shared" si="1"/>
        <v>6.0625</v>
      </c>
      <c r="X31" s="102" t="s">
        <v>138</v>
      </c>
      <c r="Y31" s="91"/>
      <c r="Z31" s="95"/>
      <c r="AA31" s="91">
        <v>0.28678673867870103</v>
      </c>
      <c r="AB31" s="95">
        <v>0.45296103125034698</v>
      </c>
      <c r="AD31" s="102" t="s">
        <v>139</v>
      </c>
      <c r="AE31" s="91"/>
      <c r="AF31" s="95"/>
      <c r="AG31" s="91">
        <v>2</v>
      </c>
      <c r="AH31" s="95">
        <f t="shared" si="2"/>
        <v>2.21875</v>
      </c>
    </row>
    <row r="32" spans="2:34" x14ac:dyDescent="0.25">
      <c r="B32" s="102" t="s">
        <v>140</v>
      </c>
      <c r="C32" s="91"/>
      <c r="D32" s="91"/>
      <c r="E32" s="91"/>
      <c r="F32" s="95"/>
      <c r="G32" s="157">
        <v>397204</v>
      </c>
      <c r="H32" s="91">
        <v>4</v>
      </c>
      <c r="I32" s="91"/>
      <c r="J32" s="95"/>
      <c r="L32" s="102" t="s">
        <v>140</v>
      </c>
      <c r="M32" s="91"/>
      <c r="N32" s="95"/>
      <c r="O32" s="157">
        <v>397204</v>
      </c>
      <c r="P32" s="95">
        <f t="shared" si="0"/>
        <v>59754.25</v>
      </c>
      <c r="R32" s="102" t="s">
        <v>140</v>
      </c>
      <c r="S32" s="91"/>
      <c r="T32" s="95"/>
      <c r="U32" s="91">
        <v>4</v>
      </c>
      <c r="V32" s="95">
        <f t="shared" si="1"/>
        <v>6.0625</v>
      </c>
      <c r="X32" s="102" t="s">
        <v>139</v>
      </c>
      <c r="Y32" s="91"/>
      <c r="Z32" s="95"/>
      <c r="AA32" s="91">
        <v>0.24582271416489901</v>
      </c>
      <c r="AB32" s="95">
        <v>0.427464001698181</v>
      </c>
      <c r="AD32" s="102" t="s">
        <v>140</v>
      </c>
      <c r="AE32" s="91"/>
      <c r="AF32" s="95"/>
      <c r="AG32" s="91">
        <v>2</v>
      </c>
      <c r="AH32" s="95">
        <f t="shared" si="2"/>
        <v>2.21875</v>
      </c>
    </row>
    <row r="33" spans="2:34" ht="15.75" thickBot="1" x14ac:dyDescent="0.3">
      <c r="B33" s="102" t="s">
        <v>141</v>
      </c>
      <c r="C33" s="91"/>
      <c r="D33" s="91"/>
      <c r="E33" s="91"/>
      <c r="F33" s="95"/>
      <c r="G33" s="91">
        <v>190575</v>
      </c>
      <c r="H33" s="91">
        <v>4</v>
      </c>
      <c r="I33" s="91"/>
      <c r="J33" s="95"/>
      <c r="L33" s="102" t="s">
        <v>141</v>
      </c>
      <c r="M33" s="91"/>
      <c r="N33" s="95"/>
      <c r="O33" s="91">
        <v>190575</v>
      </c>
      <c r="P33" s="95">
        <f t="shared" si="0"/>
        <v>59754.25</v>
      </c>
      <c r="R33" s="102" t="s">
        <v>141</v>
      </c>
      <c r="S33" s="91"/>
      <c r="T33" s="95"/>
      <c r="U33" s="91">
        <v>4</v>
      </c>
      <c r="V33" s="95">
        <f t="shared" si="1"/>
        <v>6.0625</v>
      </c>
      <c r="X33" s="102" t="s">
        <v>140</v>
      </c>
      <c r="Y33" s="91"/>
      <c r="Z33" s="95"/>
      <c r="AA33" s="91">
        <v>0.30567551280773397</v>
      </c>
      <c r="AB33" s="95">
        <v>0.42949024844177902</v>
      </c>
      <c r="AD33" s="102" t="s">
        <v>141</v>
      </c>
      <c r="AE33" s="91"/>
      <c r="AF33" s="95"/>
      <c r="AG33" s="91">
        <v>3</v>
      </c>
      <c r="AH33" s="95">
        <f t="shared" si="2"/>
        <v>2.21875</v>
      </c>
    </row>
    <row r="34" spans="2:34" ht="15.75" thickBot="1" x14ac:dyDescent="0.3">
      <c r="B34" s="102" t="s">
        <v>142</v>
      </c>
      <c r="C34" s="91"/>
      <c r="D34" s="91"/>
      <c r="E34" s="91"/>
      <c r="F34" s="95"/>
      <c r="G34" s="131">
        <v>282154</v>
      </c>
      <c r="H34" s="91">
        <v>4</v>
      </c>
      <c r="I34" s="91"/>
      <c r="J34" s="95"/>
      <c r="L34" s="102" t="s">
        <v>142</v>
      </c>
      <c r="M34" s="91"/>
      <c r="N34" s="95"/>
      <c r="O34" s="131">
        <v>282154</v>
      </c>
      <c r="P34" s="95">
        <f t="shared" si="0"/>
        <v>59754.25</v>
      </c>
      <c r="R34" s="102" t="s">
        <v>142</v>
      </c>
      <c r="S34" s="91"/>
      <c r="T34" s="95"/>
      <c r="U34" s="91">
        <v>4</v>
      </c>
      <c r="V34" s="95">
        <f t="shared" si="1"/>
        <v>6.0625</v>
      </c>
      <c r="X34" s="102" t="s">
        <v>141</v>
      </c>
      <c r="Y34" s="91"/>
      <c r="Z34" s="95"/>
      <c r="AA34" s="91">
        <v>0.48588229588800702</v>
      </c>
      <c r="AB34" s="95">
        <v>0.40471352344267297</v>
      </c>
      <c r="AD34" s="102" t="s">
        <v>142</v>
      </c>
      <c r="AE34" s="91"/>
      <c r="AF34" s="95"/>
      <c r="AG34" s="91">
        <v>2</v>
      </c>
      <c r="AH34" s="95">
        <f t="shared" si="2"/>
        <v>2.21875</v>
      </c>
    </row>
    <row r="35" spans="2:34" x14ac:dyDescent="0.25">
      <c r="B35" s="102" t="s">
        <v>143</v>
      </c>
      <c r="C35" s="91"/>
      <c r="D35" s="91"/>
      <c r="E35" s="91"/>
      <c r="F35" s="95"/>
      <c r="G35" s="91">
        <v>80459</v>
      </c>
      <c r="H35" s="91">
        <v>4</v>
      </c>
      <c r="I35" s="91"/>
      <c r="J35" s="95"/>
      <c r="L35" s="102" t="s">
        <v>143</v>
      </c>
      <c r="M35" s="91"/>
      <c r="N35" s="95"/>
      <c r="O35" s="91">
        <v>80459</v>
      </c>
      <c r="P35" s="95">
        <f t="shared" si="0"/>
        <v>59754.25</v>
      </c>
      <c r="R35" s="102" t="s">
        <v>143</v>
      </c>
      <c r="S35" s="91"/>
      <c r="T35" s="95"/>
      <c r="U35" s="91">
        <v>13</v>
      </c>
      <c r="V35" s="95">
        <f t="shared" si="1"/>
        <v>6.0625</v>
      </c>
      <c r="X35" s="102" t="s">
        <v>142</v>
      </c>
      <c r="Y35" s="91"/>
      <c r="Z35" s="95"/>
      <c r="AA35" s="91">
        <v>0.34952897503094099</v>
      </c>
      <c r="AB35" s="95">
        <v>0.33925135372287502</v>
      </c>
      <c r="AD35" s="102" t="s">
        <v>143</v>
      </c>
      <c r="AE35" s="91"/>
      <c r="AF35" s="95"/>
      <c r="AG35" s="91">
        <v>2</v>
      </c>
      <c r="AH35" s="95">
        <f t="shared" si="2"/>
        <v>2.21875</v>
      </c>
    </row>
    <row r="36" spans="2:34" ht="15.75" thickBot="1" x14ac:dyDescent="0.3">
      <c r="B36" s="102" t="s">
        <v>144</v>
      </c>
      <c r="C36" s="91"/>
      <c r="D36" s="91"/>
      <c r="E36" s="91"/>
      <c r="F36" s="95"/>
      <c r="G36" s="96">
        <v>306705</v>
      </c>
      <c r="H36" s="96">
        <v>3</v>
      </c>
      <c r="I36" s="96"/>
      <c r="J36" s="111"/>
      <c r="L36" s="102" t="s">
        <v>144</v>
      </c>
      <c r="M36" s="96"/>
      <c r="N36" s="111"/>
      <c r="O36" s="96">
        <v>306705</v>
      </c>
      <c r="P36" s="111">
        <f t="shared" si="0"/>
        <v>59754.25</v>
      </c>
      <c r="R36" s="102" t="s">
        <v>144</v>
      </c>
      <c r="S36" s="96"/>
      <c r="T36" s="111"/>
      <c r="U36" s="96">
        <v>3</v>
      </c>
      <c r="V36" s="111">
        <f t="shared" si="1"/>
        <v>6.0625</v>
      </c>
      <c r="X36" s="102" t="s">
        <v>143</v>
      </c>
      <c r="Y36" s="91"/>
      <c r="Z36" s="95"/>
      <c r="AA36" s="91">
        <v>0.20069629013367599</v>
      </c>
      <c r="AB36" s="95">
        <v>0.44682464178755998</v>
      </c>
      <c r="AD36" s="102" t="s">
        <v>144</v>
      </c>
      <c r="AE36" s="96"/>
      <c r="AF36" s="111"/>
      <c r="AG36" s="96">
        <v>2</v>
      </c>
      <c r="AH36" s="111">
        <f t="shared" si="2"/>
        <v>2.21875</v>
      </c>
    </row>
    <row r="37" spans="2:34" ht="15.75" thickBot="1" x14ac:dyDescent="0.3">
      <c r="B37" s="118" t="s">
        <v>87</v>
      </c>
      <c r="C37" s="119">
        <f>_xlfn.STDEV.S(C5:C18)</f>
        <v>2397.1116273227981</v>
      </c>
      <c r="D37" s="119">
        <f>_xlfn.STDEV.S(D5:D18)</f>
        <v>1.2774459408789605</v>
      </c>
      <c r="E37" s="119" t="e">
        <f>_xlfn.STDEV.S(E5:E18)</f>
        <v>#DIV/0!</v>
      </c>
      <c r="F37" s="120" t="e">
        <f>_xlfn.STDEV.S(F5:F11,F13:F18)</f>
        <v>#DIV/0!</v>
      </c>
      <c r="G37" s="118">
        <f>_xlfn.STDEV.S(G5:G36)</f>
        <v>113763.41608398008</v>
      </c>
      <c r="H37" s="119">
        <f>_xlfn.STDEV.S(H5:H36)</f>
        <v>1.5368458482522971</v>
      </c>
      <c r="I37" s="119" t="e">
        <f>_xlfn.STDEV.S(I5:I36)</f>
        <v>#DIV/0!</v>
      </c>
      <c r="J37" s="120" t="e">
        <f>_xlfn.STDEV.S(J13:J36,J5:J11)</f>
        <v>#DIV/0!</v>
      </c>
      <c r="X37" s="102" t="s">
        <v>144</v>
      </c>
      <c r="Y37" s="96"/>
      <c r="Z37" s="111"/>
      <c r="AA37" s="96">
        <v>0.27809356307317201</v>
      </c>
      <c r="AB37" s="111">
        <v>0.38255436417319399</v>
      </c>
    </row>
    <row r="38" spans="2:34" ht="15.75" thickBot="1" x14ac:dyDescent="0.3">
      <c r="B38" s="84" t="s">
        <v>88</v>
      </c>
      <c r="C38" s="82">
        <f>_xlfn.VAR.S(C5:C18)</f>
        <v>5746144.153846154</v>
      </c>
      <c r="D38" s="82">
        <f>_xlfn.VAR.S(D5:D18)</f>
        <v>1.6318681318681325</v>
      </c>
      <c r="E38" s="82" t="e">
        <f>_xlfn.VAR.S(E5:E18)</f>
        <v>#DIV/0!</v>
      </c>
      <c r="F38" s="83" t="e">
        <f>_xlfn.VAR.S(F13:F18,F5:F11)</f>
        <v>#DIV/0!</v>
      </c>
      <c r="G38" s="84">
        <f>_xlfn.VAR.S(G5:G36)</f>
        <v>12942114839.096775</v>
      </c>
      <c r="H38" s="82">
        <f>_xlfn.VAR.S(H5:H36)</f>
        <v>2.3618951612903225</v>
      </c>
      <c r="I38" s="82" t="e">
        <f>_xlfn.VAR.S(I5:I36)</f>
        <v>#DIV/0!</v>
      </c>
      <c r="J38" s="83" t="e">
        <f>_xlfn.VAR.S(J13:J36,J5:J11)</f>
        <v>#DIV/0!</v>
      </c>
      <c r="X38" s="156" t="s">
        <v>124</v>
      </c>
      <c r="Y38" s="138">
        <f>AVERAGE(Y6:Y19)</f>
        <v>5.7958701951202181E-2</v>
      </c>
      <c r="Z38" s="138">
        <f>AVERAGE(Z6:Z19)</f>
        <v>9.2191822247687558E-2</v>
      </c>
      <c r="AA38" s="138">
        <f>AVERAGE(AA6:AA37)</f>
        <v>0.10287299162513369</v>
      </c>
      <c r="AB38" s="138">
        <f>AVERAGE(AB6:AB37)</f>
        <v>0.14660383416057168</v>
      </c>
    </row>
    <row r="39" spans="2:34" ht="15.75" thickBot="1" x14ac:dyDescent="0.3"/>
    <row r="40" spans="2:34" ht="15.75" thickBot="1" x14ac:dyDescent="0.3">
      <c r="B40" s="131"/>
      <c r="C40" s="131"/>
      <c r="D40" s="131"/>
      <c r="E40" s="131"/>
      <c r="F40" s="131"/>
      <c r="G40" s="131"/>
      <c r="H40" s="131"/>
      <c r="I40" s="131"/>
      <c r="O40" t="s">
        <v>274</v>
      </c>
      <c r="S40" t="s">
        <v>275</v>
      </c>
      <c r="Y40" t="s">
        <v>128</v>
      </c>
      <c r="AB40" t="s">
        <v>129</v>
      </c>
    </row>
    <row r="41" spans="2:34" ht="15.75" thickBot="1" x14ac:dyDescent="0.3">
      <c r="B41" s="131"/>
      <c r="C41" s="131"/>
      <c r="D41" s="131"/>
      <c r="E41" s="131"/>
      <c r="F41" s="131"/>
      <c r="G41" s="131"/>
      <c r="H41" s="131"/>
      <c r="I41" s="131"/>
      <c r="O41" s="124" t="s">
        <v>1</v>
      </c>
      <c r="P41" s="126" t="s">
        <v>91</v>
      </c>
      <c r="Q41" t="s">
        <v>145</v>
      </c>
      <c r="R41" t="s">
        <v>276</v>
      </c>
      <c r="S41" s="124" t="s">
        <v>1</v>
      </c>
      <c r="T41" s="126" t="s">
        <v>91</v>
      </c>
      <c r="U41" t="s">
        <v>145</v>
      </c>
      <c r="V41" t="s">
        <v>276</v>
      </c>
      <c r="X41" s="124" t="s">
        <v>1</v>
      </c>
      <c r="Y41" s="126" t="s">
        <v>91</v>
      </c>
      <c r="Z41" t="s">
        <v>145</v>
      </c>
      <c r="AB41" s="124" t="s">
        <v>1</v>
      </c>
      <c r="AC41" s="126" t="s">
        <v>91</v>
      </c>
      <c r="AD41" t="s">
        <v>145</v>
      </c>
    </row>
    <row r="42" spans="2:34" ht="15.75" thickBot="1" x14ac:dyDescent="0.3">
      <c r="B42" s="131"/>
      <c r="C42" s="131"/>
      <c r="D42" s="131"/>
      <c r="E42" s="131"/>
      <c r="F42" s="131"/>
      <c r="G42" s="131"/>
      <c r="H42" s="131"/>
      <c r="I42" s="131"/>
      <c r="O42" s="101" t="s">
        <v>4</v>
      </c>
      <c r="P42" s="91">
        <v>0.666666670982906</v>
      </c>
      <c r="Q42" s="91">
        <f>P42</f>
        <v>0.666666670982906</v>
      </c>
      <c r="R42">
        <v>0.99999999568375897</v>
      </c>
      <c r="S42" s="101" t="s">
        <v>4</v>
      </c>
      <c r="T42" s="91">
        <v>0.33333333366535101</v>
      </c>
      <c r="U42" s="91">
        <f>T42</f>
        <v>0.33333333366535101</v>
      </c>
      <c r="V42">
        <v>0.70710678095177404</v>
      </c>
      <c r="W42">
        <f>IF(U42&lt;0,-LN(-U42),LN(U42))</f>
        <v>-1.0986122876720568</v>
      </c>
      <c r="X42" s="101" t="s">
        <v>4</v>
      </c>
      <c r="Y42" s="91">
        <v>0.333334926764638</v>
      </c>
      <c r="Z42" s="91">
        <v>0.333334926764638</v>
      </c>
      <c r="AB42" s="101" t="s">
        <v>4</v>
      </c>
      <c r="AC42" s="95">
        <v>0.57734888923794103</v>
      </c>
      <c r="AD42" s="95">
        <v>0.57734888923794103</v>
      </c>
      <c r="AG42" s="215">
        <f>Q42</f>
        <v>0.666666670982906</v>
      </c>
      <c r="AH42" s="215">
        <f>U42</f>
        <v>0.33333333366535101</v>
      </c>
    </row>
    <row r="43" spans="2:34" ht="15.75" thickBot="1" x14ac:dyDescent="0.3">
      <c r="B43" s="131"/>
      <c r="C43" s="131"/>
      <c r="D43" s="131"/>
      <c r="E43" s="131"/>
      <c r="F43" s="131"/>
      <c r="G43" s="131"/>
      <c r="H43" s="131"/>
      <c r="I43" s="131"/>
      <c r="O43" s="102" t="s">
        <v>5</v>
      </c>
      <c r="P43" s="91">
        <v>0.66671151776103299</v>
      </c>
      <c r="Q43" s="91">
        <f t="shared" ref="Q43:Q55" si="3">P43</f>
        <v>0.66671151776103299</v>
      </c>
      <c r="R43">
        <v>0.70707507236355405</v>
      </c>
      <c r="S43" s="102" t="s">
        <v>5</v>
      </c>
      <c r="T43" s="91">
        <v>0.33337818442770001</v>
      </c>
      <c r="U43" s="91">
        <f t="shared" ref="U43:U55" si="4">T43</f>
        <v>0.33337818442770001</v>
      </c>
      <c r="V43">
        <v>0.74529582815913298</v>
      </c>
      <c r="W43">
        <f t="shared" ref="W43:W73" si="5">ABS(LOG10(U43))</f>
        <v>0.4770628229022984</v>
      </c>
      <c r="X43" s="102" t="s">
        <v>5</v>
      </c>
      <c r="Y43" s="91">
        <v>7.3916588828710304E-3</v>
      </c>
      <c r="Z43" s="91">
        <v>7.3916588828710304E-3</v>
      </c>
      <c r="AB43" s="102" t="s">
        <v>5</v>
      </c>
      <c r="AC43" s="95">
        <v>1.28001249886763E-2</v>
      </c>
      <c r="AD43" s="95">
        <v>1.28001249886763E-2</v>
      </c>
      <c r="AG43" s="215">
        <f t="shared" ref="AG43:AG73" si="6">Q43</f>
        <v>0.66671151776103299</v>
      </c>
      <c r="AH43" s="215">
        <f t="shared" ref="AH43:AH72" si="7">U43</f>
        <v>0.33337818442770001</v>
      </c>
    </row>
    <row r="44" spans="2:34" ht="15.75" thickBot="1" x14ac:dyDescent="0.3">
      <c r="B44" s="131"/>
      <c r="C44" s="131"/>
      <c r="D44" s="131"/>
      <c r="E44" s="131"/>
      <c r="F44" s="131"/>
      <c r="G44" s="131"/>
      <c r="H44" s="131"/>
      <c r="I44" s="131"/>
      <c r="O44" s="102" t="s">
        <v>6</v>
      </c>
      <c r="P44" s="207">
        <v>3.0687534846110802E-4</v>
      </c>
      <c r="Q44" s="91">
        <f t="shared" si="3"/>
        <v>3.0687534846110802E-4</v>
      </c>
      <c r="R44" s="208">
        <v>5.0863254677414003E-4</v>
      </c>
      <c r="S44" s="102" t="s">
        <v>6</v>
      </c>
      <c r="T44" s="207">
        <v>1.5343767423055401E-4</v>
      </c>
      <c r="U44" s="91">
        <f t="shared" si="4"/>
        <v>1.5343767423055401E-4</v>
      </c>
      <c r="V44" s="208">
        <v>2.5431627338707002E-4</v>
      </c>
      <c r="W44">
        <f t="shared" si="5"/>
        <v>3.8140679930494006</v>
      </c>
      <c r="X44" s="102" t="s">
        <v>6</v>
      </c>
      <c r="Y44" s="91">
        <v>8.8895714325581202E-3</v>
      </c>
      <c r="Z44" s="91">
        <v>8.8895714325581202E-3</v>
      </c>
      <c r="AB44" s="102" t="s">
        <v>6</v>
      </c>
      <c r="AC44" s="95">
        <v>1.17434079056025E-2</v>
      </c>
      <c r="AD44" s="95">
        <v>1.17434079056025E-2</v>
      </c>
      <c r="AG44" s="215">
        <f t="shared" si="6"/>
        <v>3.0687534846110802E-4</v>
      </c>
      <c r="AH44" s="215">
        <f t="shared" si="7"/>
        <v>1.5343767423055401E-4</v>
      </c>
    </row>
    <row r="45" spans="2:34" ht="15.75" thickBot="1" x14ac:dyDescent="0.3">
      <c r="B45" s="131"/>
      <c r="C45" s="131"/>
      <c r="D45" s="131"/>
      <c r="E45" s="131"/>
      <c r="F45" s="131"/>
      <c r="G45" s="131"/>
      <c r="H45" s="131"/>
      <c r="I45" s="131"/>
      <c r="O45" s="102" t="s">
        <v>7</v>
      </c>
      <c r="P45" s="91">
        <v>0.200029204567054</v>
      </c>
      <c r="Q45" s="91">
        <f t="shared" si="3"/>
        <v>0.200029204567054</v>
      </c>
      <c r="R45">
        <v>0.49998654796893299</v>
      </c>
      <c r="S45" s="102" t="s">
        <v>7</v>
      </c>
      <c r="T45" s="91">
        <v>0.200029204567054</v>
      </c>
      <c r="U45" s="91">
        <f t="shared" si="4"/>
        <v>0.200029204567054</v>
      </c>
      <c r="V45">
        <v>0.49998654796893299</v>
      </c>
      <c r="W45">
        <f t="shared" si="5"/>
        <v>0.69890659205413708</v>
      </c>
      <c r="X45" s="102" t="s">
        <v>7</v>
      </c>
      <c r="Y45" s="91">
        <v>1.9295158413252501E-2</v>
      </c>
      <c r="Z45" s="91">
        <v>1.9295158413252501E-2</v>
      </c>
      <c r="AB45" s="102" t="s">
        <v>7</v>
      </c>
      <c r="AC45" s="95">
        <v>1.1637102287803699E-2</v>
      </c>
      <c r="AD45" s="95">
        <v>1.1637102287803699E-2</v>
      </c>
      <c r="AG45" s="215">
        <f t="shared" si="6"/>
        <v>0.200029204567054</v>
      </c>
      <c r="AH45" s="215">
        <f t="shared" si="7"/>
        <v>0.200029204567054</v>
      </c>
    </row>
    <row r="46" spans="2:34" ht="15.75" thickBot="1" x14ac:dyDescent="0.3">
      <c r="B46" s="131"/>
      <c r="C46" s="131"/>
      <c r="D46" s="131"/>
      <c r="E46" s="131"/>
      <c r="F46" s="131"/>
      <c r="G46" s="131"/>
      <c r="H46" s="131"/>
      <c r="I46" s="131"/>
      <c r="O46" s="102" t="s">
        <v>8</v>
      </c>
      <c r="P46" s="207">
        <v>6.6524908096658199E-4</v>
      </c>
      <c r="Q46" s="91">
        <f t="shared" si="3"/>
        <v>6.6524908096658199E-4</v>
      </c>
      <c r="R46">
        <v>1.40157212786864E-3</v>
      </c>
      <c r="S46" s="102" t="s">
        <v>8</v>
      </c>
      <c r="T46" s="207">
        <v>6.4050631388230599E-4</v>
      </c>
      <c r="U46" s="91">
        <f t="shared" si="4"/>
        <v>6.4050631388230599E-4</v>
      </c>
      <c r="V46">
        <v>1.41137986097766E-3</v>
      </c>
      <c r="W46">
        <f t="shared" si="5"/>
        <v>3.1934765847784212</v>
      </c>
      <c r="X46" s="102" t="s">
        <v>8</v>
      </c>
      <c r="Y46" s="91">
        <v>6.1693762653360004E-3</v>
      </c>
      <c r="Z46" s="91">
        <v>6.1693762653360004E-3</v>
      </c>
      <c r="AB46" s="102" t="s">
        <v>8</v>
      </c>
      <c r="AC46" s="95">
        <v>1.0138340331367599E-2</v>
      </c>
      <c r="AD46" s="95">
        <v>1.0138340331367599E-2</v>
      </c>
      <c r="AG46" s="215">
        <f t="shared" si="6"/>
        <v>6.6524908096658199E-4</v>
      </c>
      <c r="AH46" s="215">
        <f t="shared" si="7"/>
        <v>6.4050631388230599E-4</v>
      </c>
    </row>
    <row r="47" spans="2:34" ht="15.75" thickBot="1" x14ac:dyDescent="0.3">
      <c r="B47" s="131"/>
      <c r="C47" s="210">
        <v>9.960554451315199E-10</v>
      </c>
      <c r="D47" s="131"/>
      <c r="E47" s="131"/>
      <c r="F47" s="131"/>
      <c r="G47" s="131"/>
      <c r="H47" s="131"/>
      <c r="I47" s="131"/>
      <c r="O47" s="102" t="s">
        <v>9</v>
      </c>
      <c r="P47" s="91">
        <v>0.25012616297906798</v>
      </c>
      <c r="Q47" s="91">
        <f t="shared" si="3"/>
        <v>0.25012616297906798</v>
      </c>
      <c r="R47">
        <v>0.49991596655883902</v>
      </c>
      <c r="S47" s="102" t="s">
        <v>9</v>
      </c>
      <c r="T47" s="91">
        <v>0.250011499746701</v>
      </c>
      <c r="U47" s="91">
        <f t="shared" si="4"/>
        <v>0.250011499746701</v>
      </c>
      <c r="V47">
        <v>0.49999233412338201</v>
      </c>
      <c r="W47">
        <f t="shared" si="5"/>
        <v>0.60204001468126944</v>
      </c>
      <c r="X47" s="102" t="s">
        <v>9</v>
      </c>
      <c r="Y47" s="91">
        <v>1.9395936545627698E-2</v>
      </c>
      <c r="Z47" s="91">
        <v>1.9395936545627698E-2</v>
      </c>
      <c r="AB47" s="102" t="s">
        <v>9</v>
      </c>
      <c r="AC47" s="95">
        <v>1.7605356510124501E-2</v>
      </c>
      <c r="AD47" s="95">
        <v>1.7605356510124501E-2</v>
      </c>
      <c r="AG47" s="215">
        <f t="shared" si="6"/>
        <v>0.25012616297906798</v>
      </c>
      <c r="AH47" s="215">
        <f t="shared" si="7"/>
        <v>0.250011499746701</v>
      </c>
    </row>
    <row r="48" spans="2:34" ht="15.75" thickBot="1" x14ac:dyDescent="0.3">
      <c r="B48" s="131"/>
      <c r="C48" s="131">
        <v>1</v>
      </c>
      <c r="D48" s="131"/>
      <c r="E48" s="131"/>
      <c r="F48" s="131"/>
      <c r="G48" s="131"/>
      <c r="H48" s="131"/>
      <c r="I48" s="131"/>
      <c r="O48" s="102" t="s">
        <v>10</v>
      </c>
      <c r="P48" s="91">
        <v>2.2666061138368102E-3</v>
      </c>
      <c r="Q48" s="91">
        <f t="shared" si="3"/>
        <v>2.2666061138368102E-3</v>
      </c>
      <c r="R48">
        <v>5.1358890804843599E-3</v>
      </c>
      <c r="S48" s="102" t="s">
        <v>10</v>
      </c>
      <c r="T48" s="91">
        <v>2.2666061138368102E-3</v>
      </c>
      <c r="U48" s="91">
        <f t="shared" si="4"/>
        <v>2.2666061138368102E-3</v>
      </c>
      <c r="V48">
        <v>5.1358890804843599E-3</v>
      </c>
      <c r="W48">
        <f t="shared" si="5"/>
        <v>2.6446239441212831</v>
      </c>
      <c r="X48" s="102" t="s">
        <v>10</v>
      </c>
      <c r="Y48" s="91">
        <v>2.0198747403503799E-2</v>
      </c>
      <c r="Z48" s="91">
        <v>2.0198747403503799E-2</v>
      </c>
      <c r="AB48" s="102" t="s">
        <v>10</v>
      </c>
      <c r="AC48" s="95">
        <v>1.5335110490211501E-2</v>
      </c>
      <c r="AD48" s="95">
        <v>1.5335110490211501E-2</v>
      </c>
      <c r="AG48" s="215">
        <f>Q48</f>
        <v>2.2666061138368102E-3</v>
      </c>
      <c r="AH48" s="215">
        <f t="shared" si="7"/>
        <v>2.2666061138368102E-3</v>
      </c>
    </row>
    <row r="49" spans="2:36" ht="15.75" thickBot="1" x14ac:dyDescent="0.3">
      <c r="B49" s="131"/>
      <c r="C49" s="210">
        <f>AVERAGE(C47:C48)</f>
        <v>0.50000000049802773</v>
      </c>
      <c r="D49" s="131">
        <v>0.50000000049802773</v>
      </c>
      <c r="E49" s="131"/>
      <c r="F49" s="131"/>
      <c r="G49" s="131"/>
      <c r="H49" s="131"/>
      <c r="I49" s="131"/>
      <c r="O49" s="102" t="s">
        <v>11</v>
      </c>
      <c r="P49" s="99">
        <v>1</v>
      </c>
      <c r="Q49" s="91">
        <f t="shared" si="3"/>
        <v>1</v>
      </c>
      <c r="R49">
        <v>0.70710678118654702</v>
      </c>
      <c r="S49" s="102" t="s">
        <v>11</v>
      </c>
      <c r="T49" s="99">
        <v>0</v>
      </c>
      <c r="U49" s="91">
        <v>0</v>
      </c>
      <c r="V49">
        <v>0</v>
      </c>
      <c r="W49">
        <v>0</v>
      </c>
      <c r="X49" s="102" t="s">
        <v>11</v>
      </c>
      <c r="Y49" s="91">
        <v>1.1208399999999999E-3</v>
      </c>
      <c r="Z49" s="91">
        <v>1.1208399999999999E-3</v>
      </c>
      <c r="AB49" s="102" t="s">
        <v>11</v>
      </c>
      <c r="AC49" s="95">
        <v>1.5851070000000001E-3</v>
      </c>
      <c r="AD49" s="95">
        <v>1.5851070000000001E-3</v>
      </c>
      <c r="AG49" s="215">
        <f t="shared" si="6"/>
        <v>1</v>
      </c>
      <c r="AH49" s="215">
        <f t="shared" si="7"/>
        <v>0</v>
      </c>
    </row>
    <row r="50" spans="2:36" ht="15.75" thickBot="1" x14ac:dyDescent="0.3">
      <c r="B50" s="131"/>
      <c r="C50" s="131"/>
      <c r="D50" s="131"/>
      <c r="E50" s="131"/>
      <c r="F50" s="131"/>
      <c r="G50" s="131"/>
      <c r="H50" s="131"/>
      <c r="I50" s="131"/>
      <c r="O50" s="102" t="s">
        <v>12</v>
      </c>
      <c r="P50" s="91">
        <v>0.37037037501862902</v>
      </c>
      <c r="Q50" s="91">
        <f t="shared" si="3"/>
        <v>0.37037037501862902</v>
      </c>
      <c r="R50">
        <v>0.71145824497396903</v>
      </c>
      <c r="S50" s="102" t="s">
        <v>12</v>
      </c>
      <c r="T50" s="91">
        <v>3.7037037369055503E-2</v>
      </c>
      <c r="U50" s="91">
        <f t="shared" si="4"/>
        <v>3.7037037369055503E-2</v>
      </c>
      <c r="V50">
        <v>7.8567419897066004E-2</v>
      </c>
      <c r="W50">
        <f t="shared" si="5"/>
        <v>1.431363760265755</v>
      </c>
      <c r="X50" s="102" t="s">
        <v>12</v>
      </c>
      <c r="Y50" s="91">
        <v>0.333544800392503</v>
      </c>
      <c r="Z50" s="91">
        <v>0.333544800392503</v>
      </c>
      <c r="AB50" s="102" t="s">
        <v>12</v>
      </c>
      <c r="AC50" s="95">
        <v>0.57716721120390002</v>
      </c>
      <c r="AD50" s="95">
        <v>0.57716721120390002</v>
      </c>
      <c r="AG50" s="215">
        <f t="shared" si="6"/>
        <v>0.37037037501862902</v>
      </c>
      <c r="AH50" s="215">
        <f t="shared" si="7"/>
        <v>3.7037037369055503E-2</v>
      </c>
    </row>
    <row r="51" spans="2:36" ht="15.75" thickBot="1" x14ac:dyDescent="0.3">
      <c r="B51" s="131"/>
      <c r="C51" s="210">
        <f>SUM(C47:C48)/3</f>
        <v>0.33333333366535184</v>
      </c>
      <c r="D51" s="131"/>
      <c r="E51" s="131"/>
      <c r="F51" s="131"/>
      <c r="G51" s="130"/>
      <c r="H51" s="130"/>
      <c r="I51" s="132"/>
      <c r="O51" s="102" t="s">
        <v>13</v>
      </c>
      <c r="P51" s="91">
        <v>0.55677715708087605</v>
      </c>
      <c r="Q51" s="91">
        <f t="shared" si="3"/>
        <v>0.55677715708087605</v>
      </c>
      <c r="R51">
        <v>0.62796144914961705</v>
      </c>
      <c r="S51" s="102" t="s">
        <v>13</v>
      </c>
      <c r="T51" s="207">
        <v>1.06009962304357E-4</v>
      </c>
      <c r="U51" s="91">
        <f t="shared" si="4"/>
        <v>1.06009962304357E-4</v>
      </c>
      <c r="V51" s="208">
        <v>1.25790777040281E-4</v>
      </c>
      <c r="W51">
        <f t="shared" si="5"/>
        <v>3.9746533199191196</v>
      </c>
      <c r="X51" s="102" t="s">
        <v>13</v>
      </c>
      <c r="Y51" s="91">
        <v>1.6010968318477301E-2</v>
      </c>
      <c r="Z51" s="91">
        <v>1.6010968318477301E-2</v>
      </c>
      <c r="AB51" s="102" t="s">
        <v>13</v>
      </c>
      <c r="AC51" s="95">
        <v>8.9269497975264494E-3</v>
      </c>
      <c r="AD51" s="95">
        <v>8.9269497975264494E-3</v>
      </c>
      <c r="AG51" s="215">
        <f t="shared" si="6"/>
        <v>0.55677715708087605</v>
      </c>
      <c r="AH51" s="215">
        <f t="shared" si="7"/>
        <v>1.06009962304357E-4</v>
      </c>
    </row>
    <row r="52" spans="2:36" ht="15.75" thickBot="1" x14ac:dyDescent="0.3">
      <c r="B52" s="131"/>
      <c r="C52" s="131"/>
      <c r="D52" s="131"/>
      <c r="E52" s="131"/>
      <c r="F52" s="131"/>
      <c r="G52" s="130"/>
      <c r="H52" s="130"/>
      <c r="I52" s="132"/>
      <c r="O52" s="102" t="s">
        <v>14</v>
      </c>
      <c r="P52" s="91">
        <v>4.7996139393578399E-2</v>
      </c>
      <c r="Q52" s="91">
        <f t="shared" si="3"/>
        <v>4.7996139393578399E-2</v>
      </c>
      <c r="R52">
        <v>0.136061101738288</v>
      </c>
      <c r="S52" s="102" t="s">
        <v>14</v>
      </c>
      <c r="T52" s="91">
        <v>4.7880629812860599E-2</v>
      </c>
      <c r="U52" s="91">
        <f t="shared" si="4"/>
        <v>4.7880629812860599E-2</v>
      </c>
      <c r="V52">
        <v>0.136075851732363</v>
      </c>
      <c r="W52">
        <f t="shared" si="5"/>
        <v>1.3198401455995652</v>
      </c>
      <c r="X52" s="102" t="s">
        <v>14</v>
      </c>
      <c r="Y52" s="91">
        <v>6.62849166220905E-3</v>
      </c>
      <c r="Z52" s="91">
        <v>6.62849166220905E-3</v>
      </c>
      <c r="AB52" s="102" t="s">
        <v>14</v>
      </c>
      <c r="AC52" s="95">
        <v>7.4170772554221004E-3</v>
      </c>
      <c r="AD52" s="95">
        <v>7.4170772554221004E-3</v>
      </c>
      <c r="AG52" s="215">
        <f t="shared" si="6"/>
        <v>4.7996139393578399E-2</v>
      </c>
      <c r="AH52" s="215">
        <f t="shared" si="7"/>
        <v>4.7880629812860599E-2</v>
      </c>
    </row>
    <row r="53" spans="2:36" ht="15.75" thickBot="1" x14ac:dyDescent="0.3">
      <c r="B53" s="131"/>
      <c r="C53" s="131"/>
      <c r="D53" s="131"/>
      <c r="E53" s="131"/>
      <c r="F53" s="131"/>
      <c r="G53" s="130"/>
      <c r="H53" s="130"/>
      <c r="I53" s="132"/>
      <c r="O53" s="102" t="s">
        <v>15</v>
      </c>
      <c r="P53" s="91">
        <v>7.6332987317226694E-2</v>
      </c>
      <c r="Q53" s="91">
        <f t="shared" si="3"/>
        <v>7.6332987317226694E-2</v>
      </c>
      <c r="R53">
        <v>0.13392188064218599</v>
      </c>
      <c r="S53" s="102" t="s">
        <v>15</v>
      </c>
      <c r="T53" s="207">
        <v>2.0378038452455001E-4</v>
      </c>
      <c r="U53" s="91">
        <f t="shared" si="4"/>
        <v>2.0378038452455001E-4</v>
      </c>
      <c r="V53" s="208">
        <v>3.5822389438063597E-4</v>
      </c>
      <c r="W53">
        <f t="shared" si="5"/>
        <v>3.6908376226001525</v>
      </c>
      <c r="X53" s="102" t="s">
        <v>15</v>
      </c>
      <c r="Y53" s="91">
        <v>1.2174230318439699E-2</v>
      </c>
      <c r="Z53" s="91">
        <v>1.2174230318439699E-2</v>
      </c>
      <c r="AB53" s="102" t="s">
        <v>15</v>
      </c>
      <c r="AC53" s="95">
        <v>8.5514545355067292E-3</v>
      </c>
      <c r="AD53" s="95">
        <v>8.5514545355067292E-3</v>
      </c>
      <c r="AG53" s="215">
        <f>Q53</f>
        <v>7.6332987317226694E-2</v>
      </c>
      <c r="AH53" s="215">
        <f t="shared" si="7"/>
        <v>2.0378038452455001E-4</v>
      </c>
    </row>
    <row r="54" spans="2:36" ht="15.75" thickBot="1" x14ac:dyDescent="0.3">
      <c r="B54" s="131"/>
      <c r="C54" s="131"/>
      <c r="D54" s="131"/>
      <c r="E54" s="131"/>
      <c r="F54" s="131"/>
      <c r="G54" s="130"/>
      <c r="H54" s="130"/>
      <c r="I54" s="132"/>
      <c r="O54" s="102" t="s">
        <v>16</v>
      </c>
      <c r="P54" s="91">
        <v>0.119957515327714</v>
      </c>
      <c r="Q54" s="91">
        <f t="shared" si="3"/>
        <v>0.119957515327714</v>
      </c>
      <c r="R54">
        <v>0.29171502403402799</v>
      </c>
      <c r="S54" s="102" t="s">
        <v>16</v>
      </c>
      <c r="T54" s="91">
        <v>4.2841969759898103E-3</v>
      </c>
      <c r="U54" s="91">
        <f t="shared" si="4"/>
        <v>4.2841969759898103E-3</v>
      </c>
      <c r="V54">
        <v>1.0418393715501E-2</v>
      </c>
      <c r="W54">
        <f t="shared" si="5"/>
        <v>2.3681305696751882</v>
      </c>
      <c r="X54" s="102" t="s">
        <v>16</v>
      </c>
      <c r="Y54" s="91">
        <v>1.4815076195692899E-2</v>
      </c>
      <c r="Z54" s="91">
        <v>1.4815076195692899E-2</v>
      </c>
      <c r="AB54" s="102" t="s">
        <v>16</v>
      </c>
      <c r="AC54" s="95">
        <v>1.5589935159129801E-2</v>
      </c>
      <c r="AD54" s="95">
        <v>1.5589935159129801E-2</v>
      </c>
      <c r="AG54" s="215">
        <f>Q54</f>
        <v>0.119957515327714</v>
      </c>
      <c r="AH54" s="215">
        <f t="shared" si="7"/>
        <v>4.2841969759898103E-3</v>
      </c>
    </row>
    <row r="55" spans="2:36" ht="15.75" thickBot="1" x14ac:dyDescent="0.3">
      <c r="B55" s="131"/>
      <c r="C55" s="131"/>
      <c r="D55" s="131"/>
      <c r="E55" s="131"/>
      <c r="F55" s="131"/>
      <c r="G55" s="130"/>
      <c r="H55" s="130"/>
      <c r="I55" s="132"/>
      <c r="O55" s="102" t="s">
        <v>17</v>
      </c>
      <c r="P55" s="91">
        <v>0.48155989055533699</v>
      </c>
      <c r="Q55" s="91">
        <f t="shared" si="3"/>
        <v>0.48155989055533699</v>
      </c>
      <c r="R55">
        <v>0.53908033107777098</v>
      </c>
      <c r="S55" s="102" t="s">
        <v>17</v>
      </c>
      <c r="T55" s="207">
        <v>2.60776807591051E-4</v>
      </c>
      <c r="U55" s="91">
        <f t="shared" si="4"/>
        <v>2.60776807591051E-4</v>
      </c>
      <c r="V55" s="208">
        <v>4.5612365544682199E-4</v>
      </c>
      <c r="W55">
        <f t="shared" si="5"/>
        <v>3.583731035574746</v>
      </c>
      <c r="X55" s="102" t="s">
        <v>17</v>
      </c>
      <c r="Y55" s="91">
        <v>1.2452044721721499E-2</v>
      </c>
      <c r="Z55" s="91">
        <v>1.2452044721721499E-2</v>
      </c>
      <c r="AB55" s="102" t="s">
        <v>17</v>
      </c>
      <c r="AC55" s="95">
        <v>1.48394447644138E-2</v>
      </c>
      <c r="AD55" s="95">
        <v>1.48394447644138E-2</v>
      </c>
      <c r="AG55" s="215">
        <f t="shared" si="6"/>
        <v>0.48155989055533699</v>
      </c>
      <c r="AH55" s="215">
        <f t="shared" si="7"/>
        <v>2.60776807591051E-4</v>
      </c>
      <c r="AI55" s="215">
        <f>AVERAGE(AG42:AG55)</f>
        <v>0.31712616796619192</v>
      </c>
      <c r="AJ55" s="215">
        <f>AVERAGE(AH42:AH55)</f>
        <v>8.639894313007726E-2</v>
      </c>
    </row>
    <row r="56" spans="2:36" ht="15.75" thickBot="1" x14ac:dyDescent="0.3">
      <c r="B56" s="131"/>
      <c r="C56" s="131"/>
      <c r="D56" s="131"/>
      <c r="E56" s="131"/>
      <c r="F56" s="131"/>
      <c r="G56" s="130"/>
      <c r="H56" s="130"/>
      <c r="I56" s="132"/>
      <c r="J56" t="s">
        <v>277</v>
      </c>
      <c r="O56" s="102" t="s">
        <v>23</v>
      </c>
      <c r="P56" s="91"/>
      <c r="Q56" s="91">
        <v>0.25162373675571598</v>
      </c>
      <c r="R56">
        <v>0.353137365369668</v>
      </c>
      <c r="S56" s="102" t="s">
        <v>23</v>
      </c>
      <c r="T56" s="91"/>
      <c r="U56" s="207">
        <v>2.27380379326973E-4</v>
      </c>
      <c r="V56" s="208">
        <v>3.6581820656246203E-4</v>
      </c>
      <c r="W56">
        <f t="shared" si="5"/>
        <v>3.6432470133407278</v>
      </c>
      <c r="X56" s="102" t="s">
        <v>23</v>
      </c>
      <c r="Y56" s="91"/>
      <c r="Z56" s="91">
        <v>1.0779221924309501E-2</v>
      </c>
      <c r="AB56" s="102" t="s">
        <v>23</v>
      </c>
      <c r="AC56" s="91"/>
      <c r="AD56" s="95">
        <v>8.55962285729156E-3</v>
      </c>
      <c r="AG56" s="215">
        <f t="shared" si="6"/>
        <v>0.25162373675571598</v>
      </c>
      <c r="AH56" s="215">
        <f t="shared" si="7"/>
        <v>2.27380379326973E-4</v>
      </c>
    </row>
    <row r="57" spans="2:36" ht="15.75" thickBot="1" x14ac:dyDescent="0.3">
      <c r="B57" s="131"/>
      <c r="C57" s="131"/>
      <c r="D57" s="131"/>
      <c r="E57" s="131"/>
      <c r="F57" s="131"/>
      <c r="G57" s="130"/>
      <c r="H57" s="130"/>
      <c r="I57" s="132"/>
      <c r="J57" t="s">
        <v>278</v>
      </c>
      <c r="O57" s="102" t="s">
        <v>24</v>
      </c>
      <c r="P57" s="91"/>
      <c r="Q57" s="91">
        <v>0.25064870250032401</v>
      </c>
      <c r="R57">
        <v>0.48162124220201202</v>
      </c>
      <c r="S57" s="102" t="s">
        <v>24</v>
      </c>
      <c r="T57" s="91"/>
      <c r="U57" s="207">
        <v>1.62175625081111E-4</v>
      </c>
      <c r="V57" s="208">
        <v>3.0693737895559002E-4</v>
      </c>
      <c r="W57">
        <f t="shared" si="5"/>
        <v>3.7900144194729379</v>
      </c>
      <c r="X57" s="102" t="s">
        <v>24</v>
      </c>
      <c r="Y57" s="91"/>
      <c r="Z57" s="91">
        <v>9.7246597620519303E-3</v>
      </c>
      <c r="AB57" s="102" t="s">
        <v>24</v>
      </c>
      <c r="AC57" s="91"/>
      <c r="AD57" s="95">
        <v>8.0409787742798892E-3</v>
      </c>
      <c r="AG57" s="215">
        <f t="shared" si="6"/>
        <v>0.25064870250032401</v>
      </c>
      <c r="AH57" s="215">
        <f t="shared" si="7"/>
        <v>1.62175625081111E-4</v>
      </c>
    </row>
    <row r="58" spans="2:36" ht="15.75" thickBot="1" x14ac:dyDescent="0.3">
      <c r="B58" s="131"/>
      <c r="C58" s="131"/>
      <c r="D58" s="131"/>
      <c r="E58" s="131"/>
      <c r="F58" s="131"/>
      <c r="G58" s="130"/>
      <c r="H58" s="130"/>
      <c r="I58" s="132"/>
      <c r="J58" t="s">
        <v>279</v>
      </c>
      <c r="O58" s="102" t="s">
        <v>25</v>
      </c>
      <c r="P58" s="91"/>
      <c r="Q58" s="91">
        <v>0.125424296804549</v>
      </c>
      <c r="R58">
        <v>0.353383306267949</v>
      </c>
      <c r="S58" s="102" t="s">
        <v>25</v>
      </c>
      <c r="T58" s="91"/>
      <c r="U58" s="207">
        <v>5.8644839127325299E-5</v>
      </c>
      <c r="V58" s="208">
        <v>1.20448205759999E-4</v>
      </c>
      <c r="W58">
        <f t="shared" si="5"/>
        <v>4.231770200720538</v>
      </c>
      <c r="X58" s="102" t="s">
        <v>25</v>
      </c>
      <c r="Y58" s="91"/>
      <c r="Z58" s="91">
        <v>2.0214493483209601E-2</v>
      </c>
      <c r="AB58" s="102" t="s">
        <v>25</v>
      </c>
      <c r="AC58" s="91"/>
      <c r="AD58" s="95">
        <v>1.47078906056638E-2</v>
      </c>
      <c r="AG58" s="215">
        <f t="shared" si="6"/>
        <v>0.125424296804549</v>
      </c>
      <c r="AH58" s="215">
        <f t="shared" si="7"/>
        <v>5.8644839127325299E-5</v>
      </c>
    </row>
    <row r="59" spans="2:36" ht="15.75" thickBot="1" x14ac:dyDescent="0.3">
      <c r="B59" s="131"/>
      <c r="C59" s="131"/>
      <c r="D59" s="131"/>
      <c r="E59" s="131"/>
      <c r="F59" s="131"/>
      <c r="G59" s="130"/>
      <c r="H59" s="130"/>
      <c r="I59" s="132"/>
      <c r="J59" t="s">
        <v>280</v>
      </c>
      <c r="O59" s="102" t="s">
        <v>26</v>
      </c>
      <c r="P59" s="91"/>
      <c r="Q59" s="91">
        <v>5.4065493408842001E-2</v>
      </c>
      <c r="R59">
        <v>0.112978131916425</v>
      </c>
      <c r="S59" s="102" t="s">
        <v>26</v>
      </c>
      <c r="T59" s="91"/>
      <c r="U59" s="207">
        <v>6.1275304279056195E-4</v>
      </c>
      <c r="V59">
        <v>1.1788940857852799E-3</v>
      </c>
      <c r="W59">
        <f t="shared" si="5"/>
        <v>3.2127145234641024</v>
      </c>
      <c r="X59" s="102" t="s">
        <v>26</v>
      </c>
      <c r="Y59" s="91"/>
      <c r="Z59" s="91">
        <v>1.24126951382893E-2</v>
      </c>
      <c r="AB59" s="102" t="s">
        <v>26</v>
      </c>
      <c r="AC59" s="91"/>
      <c r="AD59" s="95">
        <v>1.5408136627714401E-2</v>
      </c>
      <c r="AG59" s="215">
        <f t="shared" si="6"/>
        <v>5.4065493408842001E-2</v>
      </c>
      <c r="AH59" s="215">
        <f t="shared" si="7"/>
        <v>6.1275304279056195E-4</v>
      </c>
    </row>
    <row r="60" spans="2:36" ht="15.75" thickBot="1" x14ac:dyDescent="0.3">
      <c r="B60" s="131"/>
      <c r="C60" s="131"/>
      <c r="D60" s="131"/>
      <c r="E60" s="131"/>
      <c r="F60" s="131"/>
      <c r="G60" s="130"/>
      <c r="H60" s="130"/>
      <c r="I60" s="132"/>
      <c r="O60" s="102" t="s">
        <v>27</v>
      </c>
      <c r="P60" s="91"/>
      <c r="Q60" s="91">
        <v>0.44883106957514501</v>
      </c>
      <c r="R60">
        <v>0.54698196508896801</v>
      </c>
      <c r="S60" s="102" t="s">
        <v>27</v>
      </c>
      <c r="T60" s="91"/>
      <c r="U60" s="207">
        <v>1.5823489359687E-5</v>
      </c>
      <c r="V60" s="208">
        <v>2.8135022197322299E-5</v>
      </c>
      <c r="W60">
        <f t="shared" si="5"/>
        <v>4.8006977406513753</v>
      </c>
      <c r="X60" s="102" t="s">
        <v>27</v>
      </c>
      <c r="Y60" s="91"/>
      <c r="Z60" s="91">
        <v>1.86552281437928E-2</v>
      </c>
      <c r="AB60" s="102" t="s">
        <v>27</v>
      </c>
      <c r="AC60" s="91"/>
      <c r="AD60" s="95">
        <v>1.86079392670375E-2</v>
      </c>
      <c r="AG60" s="215">
        <f t="shared" si="6"/>
        <v>0.44883106957514501</v>
      </c>
      <c r="AH60" s="215">
        <f t="shared" si="7"/>
        <v>1.5823489359687E-5</v>
      </c>
    </row>
    <row r="61" spans="2:36" ht="15.75" thickBot="1" x14ac:dyDescent="0.3">
      <c r="B61" s="131"/>
      <c r="C61" s="131"/>
      <c r="D61" s="131"/>
      <c r="E61" s="131"/>
      <c r="F61" s="131"/>
      <c r="G61" s="130"/>
      <c r="H61" s="130"/>
      <c r="I61" s="132"/>
      <c r="O61" s="102" t="s">
        <v>28</v>
      </c>
      <c r="P61" s="91"/>
      <c r="Q61" s="91">
        <v>1.0341091750322199E-3</v>
      </c>
      <c r="R61">
        <v>1.1163240676487999E-3</v>
      </c>
      <c r="S61" s="102" t="s">
        <v>28</v>
      </c>
      <c r="T61" s="91"/>
      <c r="U61" s="207">
        <v>7.0780135351214798E-5</v>
      </c>
      <c r="V61" s="208">
        <v>8.6366784653467193E-5</v>
      </c>
      <c r="W61">
        <f t="shared" si="5"/>
        <v>4.1500886112064226</v>
      </c>
      <c r="X61" s="102" t="s">
        <v>28</v>
      </c>
      <c r="Y61" s="91"/>
      <c r="Z61" s="91">
        <v>2.29711319545319E-2</v>
      </c>
      <c r="AB61" s="102" t="s">
        <v>28</v>
      </c>
      <c r="AC61" s="91"/>
      <c r="AD61" s="95">
        <v>7.0587250598913203E-3</v>
      </c>
      <c r="AG61" s="215">
        <f t="shared" si="6"/>
        <v>1.0341091750322199E-3</v>
      </c>
      <c r="AH61" s="215">
        <f t="shared" si="7"/>
        <v>7.0780135351214798E-5</v>
      </c>
    </row>
    <row r="62" spans="2:36" ht="15.75" thickBot="1" x14ac:dyDescent="0.3">
      <c r="B62" s="131"/>
      <c r="C62" s="131"/>
      <c r="D62" s="131"/>
      <c r="E62" s="131"/>
      <c r="F62" s="131"/>
      <c r="G62" s="130"/>
      <c r="H62" s="130"/>
      <c r="I62" s="132"/>
      <c r="O62" s="102" t="s">
        <v>29</v>
      </c>
      <c r="P62" s="91"/>
      <c r="Q62" s="91">
        <v>0.22687891601992199</v>
      </c>
      <c r="R62">
        <v>0.43378362228932299</v>
      </c>
      <c r="S62" s="102" t="s">
        <v>29</v>
      </c>
      <c r="T62" s="91"/>
      <c r="U62" s="91">
        <v>0.11614959008919699</v>
      </c>
      <c r="V62">
        <v>0.35388756087981399</v>
      </c>
      <c r="W62">
        <f t="shared" si="5"/>
        <v>0.93498231855693514</v>
      </c>
      <c r="X62" s="102" t="s">
        <v>29</v>
      </c>
      <c r="Y62" s="91"/>
      <c r="Z62" s="91">
        <v>1.48157491560341E-2</v>
      </c>
      <c r="AB62" s="102" t="s">
        <v>29</v>
      </c>
      <c r="AC62" s="91"/>
      <c r="AD62" s="95">
        <v>1.39318952005539E-2</v>
      </c>
      <c r="AG62" s="215">
        <f t="shared" si="6"/>
        <v>0.22687891601992199</v>
      </c>
      <c r="AH62" s="215">
        <f t="shared" si="7"/>
        <v>0.11614959008919699</v>
      </c>
    </row>
    <row r="63" spans="2:36" ht="15.75" thickBot="1" x14ac:dyDescent="0.3">
      <c r="B63" s="131"/>
      <c r="C63" s="131"/>
      <c r="D63" s="131"/>
      <c r="E63" s="131"/>
      <c r="F63" s="131"/>
      <c r="G63" s="130"/>
      <c r="H63" s="130"/>
      <c r="I63" s="132"/>
      <c r="O63" s="102" t="s">
        <v>30</v>
      </c>
      <c r="P63" s="91"/>
      <c r="Q63" s="91">
        <v>0.23172933559831699</v>
      </c>
      <c r="R63">
        <v>0.43996225002015399</v>
      </c>
      <c r="S63" s="102" t="s">
        <v>30</v>
      </c>
      <c r="T63" s="91"/>
      <c r="U63" s="91">
        <v>1.0568826183760399E-3</v>
      </c>
      <c r="V63">
        <v>2.99069413385684E-3</v>
      </c>
      <c r="W63">
        <f t="shared" si="5"/>
        <v>2.9759732445018257</v>
      </c>
      <c r="X63" s="102" t="s">
        <v>30</v>
      </c>
      <c r="Y63" s="91"/>
      <c r="Z63" s="91">
        <v>1.2449596207413999E-2</v>
      </c>
      <c r="AB63" s="102" t="s">
        <v>30</v>
      </c>
      <c r="AC63" s="91"/>
      <c r="AD63" s="95">
        <v>1.8444083250857699E-2</v>
      </c>
      <c r="AG63" s="215">
        <f t="shared" si="6"/>
        <v>0.23172933559831699</v>
      </c>
      <c r="AH63" s="215">
        <f t="shared" si="7"/>
        <v>1.0568826183760399E-3</v>
      </c>
    </row>
    <row r="64" spans="2:36" ht="15.75" thickBot="1" x14ac:dyDescent="0.3">
      <c r="B64" s="131"/>
      <c r="C64" s="131"/>
      <c r="D64" s="131"/>
      <c r="E64" s="131"/>
      <c r="F64" s="131"/>
      <c r="G64" s="130"/>
      <c r="H64" s="130"/>
      <c r="I64" s="132"/>
      <c r="M64">
        <f>1+9.9605544513152E-10</f>
        <v>1.0000000009960555</v>
      </c>
      <c r="O64" s="102" t="s">
        <v>31</v>
      </c>
      <c r="P64" s="91"/>
      <c r="Q64" s="91">
        <v>0.58352396839259701</v>
      </c>
      <c r="R64">
        <v>0.58352396839259701</v>
      </c>
      <c r="S64" s="102" t="s">
        <v>31</v>
      </c>
      <c r="T64" s="91"/>
      <c r="U64" s="207">
        <v>2.79670047954827E-4</v>
      </c>
      <c r="V64" s="208">
        <v>3.56468859257412E-4</v>
      </c>
      <c r="W64">
        <f t="shared" si="5"/>
        <v>3.5533540431189268</v>
      </c>
      <c r="X64" s="102" t="s">
        <v>31</v>
      </c>
      <c r="Y64" s="91"/>
      <c r="Z64" s="91">
        <v>1.10726203164012E-2</v>
      </c>
      <c r="AB64" s="102" t="s">
        <v>31</v>
      </c>
      <c r="AC64" s="91"/>
      <c r="AD64" s="95">
        <v>8.8030193910622594E-3</v>
      </c>
      <c r="AG64" s="215">
        <f t="shared" si="6"/>
        <v>0.58352396839259701</v>
      </c>
      <c r="AH64" s="215">
        <f t="shared" si="7"/>
        <v>2.79670047954827E-4</v>
      </c>
    </row>
    <row r="65" spans="2:36" ht="15.75" thickBot="1" x14ac:dyDescent="0.3">
      <c r="B65" s="131"/>
      <c r="C65" s="131"/>
      <c r="D65" s="131"/>
      <c r="E65" s="131"/>
      <c r="F65" s="131"/>
      <c r="G65" s="130"/>
      <c r="H65" s="130"/>
      <c r="I65" s="132"/>
      <c r="O65" s="102" t="s">
        <v>32</v>
      </c>
      <c r="P65" s="91"/>
      <c r="Q65" s="91">
        <v>3.8914961813719E-2</v>
      </c>
      <c r="R65">
        <v>8.3674028872570194E-2</v>
      </c>
      <c r="S65" s="102" t="s">
        <v>32</v>
      </c>
      <c r="T65" s="91"/>
      <c r="U65" s="207">
        <v>8.2188831789778796E-4</v>
      </c>
      <c r="V65">
        <v>1.5145025020784301E-3</v>
      </c>
      <c r="W65">
        <f t="shared" si="5"/>
        <v>3.0851871924550505</v>
      </c>
      <c r="X65" s="102" t="s">
        <v>32</v>
      </c>
      <c r="Y65" s="91"/>
      <c r="Z65" s="91">
        <v>2.71204835184931E-3</v>
      </c>
      <c r="AB65" s="102" t="s">
        <v>32</v>
      </c>
      <c r="AC65" s="91"/>
      <c r="AD65" s="95">
        <v>3.57522785935044E-3</v>
      </c>
      <c r="AG65" s="215">
        <f t="shared" si="6"/>
        <v>3.8914961813719E-2</v>
      </c>
      <c r="AH65" s="215">
        <f t="shared" si="7"/>
        <v>8.2188831789778796E-4</v>
      </c>
      <c r="AI65" s="215">
        <f>AVERAGE(AG56:AG65)</f>
        <v>0.22126745900441636</v>
      </c>
      <c r="AJ65" s="215">
        <f>AVERAGE(AH56:AH65)</f>
        <v>1.1945558858446252E-2</v>
      </c>
    </row>
    <row r="66" spans="2:36" ht="15.75" thickBot="1" x14ac:dyDescent="0.3">
      <c r="B66" s="131"/>
      <c r="C66" s="131"/>
      <c r="D66" s="131"/>
      <c r="E66" s="131"/>
      <c r="F66" s="131"/>
      <c r="G66" s="130"/>
      <c r="H66" s="130"/>
      <c r="I66" s="132"/>
      <c r="O66" s="102" t="s">
        <v>137</v>
      </c>
      <c r="P66" s="91"/>
      <c r="Q66" s="91">
        <v>0.48437436044785198</v>
      </c>
      <c r="R66">
        <v>0.73202999291726101</v>
      </c>
      <c r="S66" s="102" t="s">
        <v>137</v>
      </c>
      <c r="T66" s="91"/>
      <c r="U66" s="207">
        <v>1.4669508663208899E-6</v>
      </c>
      <c r="V66" s="208">
        <v>3.4850300676841502E-6</v>
      </c>
      <c r="W66">
        <f t="shared" si="5"/>
        <v>5.8335844320620085</v>
      </c>
      <c r="X66" s="102" t="s">
        <v>137</v>
      </c>
      <c r="Y66" s="91"/>
      <c r="Z66" s="91">
        <v>0.19222037047243401</v>
      </c>
      <c r="AB66" s="102" t="s">
        <v>39</v>
      </c>
      <c r="AC66" s="91"/>
      <c r="AD66" s="95">
        <v>0.40024049826035701</v>
      </c>
      <c r="AG66" s="215">
        <f>Q66</f>
        <v>0.48437436044785198</v>
      </c>
      <c r="AH66" s="215">
        <f t="shared" si="7"/>
        <v>1.4669508663208899E-6</v>
      </c>
    </row>
    <row r="67" spans="2:36" ht="15.75" thickBot="1" x14ac:dyDescent="0.3">
      <c r="B67" s="131"/>
      <c r="C67" s="131"/>
      <c r="D67" s="131"/>
      <c r="E67" s="131"/>
      <c r="F67" s="131"/>
      <c r="G67" s="130"/>
      <c r="H67" s="130"/>
      <c r="I67" s="132"/>
      <c r="O67" s="102" t="s">
        <v>138</v>
      </c>
      <c r="P67" s="91"/>
      <c r="Q67" s="91">
        <v>0.15651909811770101</v>
      </c>
      <c r="R67">
        <v>0.14830529298428199</v>
      </c>
      <c r="S67" s="102" t="s">
        <v>138</v>
      </c>
      <c r="T67" s="91"/>
      <c r="U67" s="207">
        <v>9.7814964739600593E-4</v>
      </c>
      <c r="V67">
        <v>1.5760299393517601E-3</v>
      </c>
      <c r="W67">
        <f t="shared" si="5"/>
        <v>3.0095946972915764</v>
      </c>
      <c r="X67" s="102" t="s">
        <v>138</v>
      </c>
      <c r="Y67" s="91"/>
      <c r="Z67" s="91">
        <v>0.28678673867870103</v>
      </c>
      <c r="AB67" s="102" t="s">
        <v>40</v>
      </c>
      <c r="AC67" s="91"/>
      <c r="AD67" s="95">
        <v>0.45296103125034698</v>
      </c>
      <c r="AG67" s="215">
        <f t="shared" si="6"/>
        <v>0.15651909811770101</v>
      </c>
      <c r="AH67" s="215">
        <f t="shared" si="7"/>
        <v>9.7814964739600593E-4</v>
      </c>
    </row>
    <row r="68" spans="2:36" ht="15.75" thickBot="1" x14ac:dyDescent="0.3">
      <c r="B68" s="131"/>
      <c r="C68" s="131"/>
      <c r="D68" s="131"/>
      <c r="E68" s="131"/>
      <c r="F68" s="131"/>
      <c r="G68" s="130"/>
      <c r="H68" s="130"/>
      <c r="I68" s="132"/>
      <c r="O68" s="102" t="s">
        <v>139</v>
      </c>
      <c r="P68" s="91"/>
      <c r="Q68" s="91">
        <v>7.2545359663934203E-2</v>
      </c>
      <c r="R68">
        <v>0.20411460806986001</v>
      </c>
      <c r="S68" s="102" t="s">
        <v>139</v>
      </c>
      <c r="T68" s="91"/>
      <c r="U68" s="91">
        <v>7.2046073021955898E-2</v>
      </c>
      <c r="V68">
        <v>0.20412667509521901</v>
      </c>
      <c r="W68">
        <f t="shared" si="5"/>
        <v>1.1423896860696132</v>
      </c>
      <c r="X68" s="102" t="s">
        <v>139</v>
      </c>
      <c r="Y68" s="91"/>
      <c r="Z68" s="91">
        <v>0.24582271416489901</v>
      </c>
      <c r="AB68" s="102" t="s">
        <v>41</v>
      </c>
      <c r="AC68" s="91"/>
      <c r="AD68" s="95">
        <v>0.427464001698181</v>
      </c>
      <c r="AG68" s="215">
        <f>Q68</f>
        <v>7.2545359663934203E-2</v>
      </c>
      <c r="AH68" s="215">
        <f t="shared" si="7"/>
        <v>7.2046073021955898E-2</v>
      </c>
    </row>
    <row r="69" spans="2:36" ht="15.75" thickBot="1" x14ac:dyDescent="0.3">
      <c r="B69" s="131"/>
      <c r="C69" s="131"/>
      <c r="D69" s="131"/>
      <c r="E69" s="131"/>
      <c r="F69" s="131"/>
      <c r="G69" s="130"/>
      <c r="H69" s="130"/>
      <c r="I69" s="132"/>
      <c r="O69" s="102" t="s">
        <v>140</v>
      </c>
      <c r="P69" s="91"/>
      <c r="Q69" s="91">
        <v>0.38605028562568799</v>
      </c>
      <c r="R69">
        <v>0.49922961638624802</v>
      </c>
      <c r="S69" s="102" t="s">
        <v>140</v>
      </c>
      <c r="T69" s="91"/>
      <c r="U69" s="207">
        <v>7.9653166493148496E-5</v>
      </c>
      <c r="V69" s="208">
        <v>1.63316233913049E-4</v>
      </c>
      <c r="W69">
        <f t="shared" si="5"/>
        <v>4.0987969547885665</v>
      </c>
      <c r="X69" s="102" t="s">
        <v>140</v>
      </c>
      <c r="Y69" s="91"/>
      <c r="Z69" s="91">
        <v>0.30567551280773397</v>
      </c>
      <c r="AB69" s="102" t="s">
        <v>42</v>
      </c>
      <c r="AC69" s="91"/>
      <c r="AD69" s="95">
        <v>0.42949024844177902</v>
      </c>
      <c r="AG69" s="215">
        <f>Q69</f>
        <v>0.38605028562568799</v>
      </c>
      <c r="AH69" s="215">
        <f t="shared" si="7"/>
        <v>7.9653166493148496E-5</v>
      </c>
    </row>
    <row r="70" spans="2:36" ht="15.75" thickBot="1" x14ac:dyDescent="0.3">
      <c r="B70" s="131"/>
      <c r="C70" s="131"/>
      <c r="D70" s="131"/>
      <c r="E70" s="131"/>
      <c r="F70" s="131"/>
      <c r="G70" s="130"/>
      <c r="H70" s="130"/>
      <c r="I70" s="132"/>
      <c r="O70" s="102" t="s">
        <v>141</v>
      </c>
      <c r="P70" s="91"/>
      <c r="Q70" s="91">
        <v>0.39363782772134698</v>
      </c>
      <c r="R70">
        <v>0.52722359805644503</v>
      </c>
      <c r="S70" s="102" t="s">
        <v>141</v>
      </c>
      <c r="T70" s="91"/>
      <c r="U70" s="91">
        <v>3.6686646734465098E-3</v>
      </c>
      <c r="V70">
        <v>1.26494882110902E-2</v>
      </c>
      <c r="W70">
        <f t="shared" si="5"/>
        <v>2.4354919822007535</v>
      </c>
      <c r="X70" s="102" t="s">
        <v>141</v>
      </c>
      <c r="Y70" s="91"/>
      <c r="Z70" s="91">
        <v>0.48588229588800702</v>
      </c>
      <c r="AB70" s="102" t="s">
        <v>43</v>
      </c>
      <c r="AC70" s="91"/>
      <c r="AD70" s="95">
        <v>0.40471352344267297</v>
      </c>
      <c r="AG70" s="215">
        <f>Q70</f>
        <v>0.39363782772134698</v>
      </c>
      <c r="AH70" s="215">
        <f t="shared" si="7"/>
        <v>3.6686646734465098E-3</v>
      </c>
    </row>
    <row r="71" spans="2:36" ht="15.75" thickBot="1" x14ac:dyDescent="0.3">
      <c r="B71" s="131"/>
      <c r="C71" s="131"/>
      <c r="D71" s="131"/>
      <c r="E71" s="131"/>
      <c r="F71" s="131"/>
      <c r="G71" s="133"/>
      <c r="H71" s="133"/>
      <c r="I71" s="134"/>
      <c r="O71" s="102" t="s">
        <v>142</v>
      </c>
      <c r="P71" s="91"/>
      <c r="Q71" s="91">
        <v>0.235529476610806</v>
      </c>
      <c r="R71">
        <v>0.38766617628120897</v>
      </c>
      <c r="S71" s="102" t="s">
        <v>142</v>
      </c>
      <c r="T71" s="91"/>
      <c r="U71" s="91">
        <v>2.97672400028925E-3</v>
      </c>
      <c r="V71">
        <v>9.80445699341553E-3</v>
      </c>
      <c r="W71">
        <f t="shared" si="5"/>
        <v>2.5262614309589586</v>
      </c>
      <c r="X71" s="102" t="s">
        <v>142</v>
      </c>
      <c r="Y71" s="91"/>
      <c r="Z71" s="91">
        <v>0.34952897503094099</v>
      </c>
      <c r="AB71" s="102" t="s">
        <v>44</v>
      </c>
      <c r="AC71" s="91"/>
      <c r="AD71" s="95">
        <v>0.33925135372287502</v>
      </c>
      <c r="AG71" s="215">
        <f t="shared" si="6"/>
        <v>0.235529476610806</v>
      </c>
      <c r="AH71" s="215">
        <f t="shared" si="7"/>
        <v>2.97672400028925E-3</v>
      </c>
    </row>
    <row r="72" spans="2:36" ht="15.75" thickBot="1" x14ac:dyDescent="0.3">
      <c r="B72" s="131"/>
      <c r="C72" s="131"/>
      <c r="D72" s="131"/>
      <c r="E72" s="131"/>
      <c r="F72" s="131"/>
      <c r="G72" s="133"/>
      <c r="H72" s="133"/>
      <c r="I72" s="134"/>
      <c r="O72" s="102" t="s">
        <v>143</v>
      </c>
      <c r="P72" s="91"/>
      <c r="Q72" s="91">
        <v>0.26497589677773797</v>
      </c>
      <c r="R72">
        <v>0.49182125198901899</v>
      </c>
      <c r="S72" s="102" t="s">
        <v>143</v>
      </c>
      <c r="T72" s="91"/>
      <c r="U72" s="207">
        <v>7.1498919251162399E-5</v>
      </c>
      <c r="V72" s="208">
        <v>1.5362927146296901E-4</v>
      </c>
      <c r="W72">
        <f t="shared" si="5"/>
        <v>4.1457005227696024</v>
      </c>
      <c r="X72" s="102" t="s">
        <v>143</v>
      </c>
      <c r="Y72" s="91"/>
      <c r="Z72" s="91">
        <v>0.20069629013367599</v>
      </c>
      <c r="AB72" s="102" t="s">
        <v>45</v>
      </c>
      <c r="AC72" s="91"/>
      <c r="AD72" s="95">
        <v>0.44682464178755998</v>
      </c>
      <c r="AG72" s="215">
        <f>Q72</f>
        <v>0.26497589677773797</v>
      </c>
      <c r="AH72" s="215">
        <f t="shared" si="7"/>
        <v>7.1498919251162399E-5</v>
      </c>
    </row>
    <row r="73" spans="2:36" ht="15.75" thickBot="1" x14ac:dyDescent="0.3">
      <c r="O73" s="102" t="s">
        <v>144</v>
      </c>
      <c r="P73" s="96"/>
      <c r="Q73" s="96">
        <v>0.333759327615537</v>
      </c>
      <c r="R73">
        <v>0.58927527081646303</v>
      </c>
      <c r="S73" s="102" t="s">
        <v>144</v>
      </c>
      <c r="T73" s="96"/>
      <c r="U73" s="209">
        <v>5.2083291649477503E-6</v>
      </c>
      <c r="V73" s="208">
        <v>1.7160516138931601E-5</v>
      </c>
      <c r="W73">
        <f t="shared" si="5"/>
        <v>5.2833015762826054</v>
      </c>
      <c r="X73" s="102" t="s">
        <v>144</v>
      </c>
      <c r="Y73" s="96"/>
      <c r="Z73" s="96">
        <v>0.27809356307317201</v>
      </c>
      <c r="AB73" s="122" t="s">
        <v>46</v>
      </c>
      <c r="AC73" s="96"/>
      <c r="AD73" s="111">
        <v>0.38255436417319399</v>
      </c>
      <c r="AG73" s="215">
        <f t="shared" si="6"/>
        <v>0.333759327615537</v>
      </c>
      <c r="AH73" s="215">
        <f>U73</f>
        <v>5.2083291649477503E-6</v>
      </c>
    </row>
    <row r="74" spans="2:36" x14ac:dyDescent="0.25">
      <c r="O74" s="104" t="s">
        <v>127</v>
      </c>
      <c r="P74">
        <f>_xlfn.STDEV.S(P42:P55)</f>
        <v>0.31441743052966958</v>
      </c>
      <c r="Q74">
        <f>_xlfn.STDEV.S(Q42:Q73)</f>
        <v>0.23908991729280288</v>
      </c>
      <c r="R74">
        <f t="shared" ref="R74:V74" si="8">_xlfn.STDEV.S(R42:R73)</f>
        <v>0.25756093329027935</v>
      </c>
      <c r="T74">
        <f t="shared" si="8"/>
        <v>0.13125167189853365</v>
      </c>
      <c r="U74">
        <f t="shared" si="8"/>
        <v>9.5905944899789583E-2</v>
      </c>
      <c r="V74">
        <f t="shared" si="8"/>
        <v>0.21344870482557804</v>
      </c>
      <c r="X74" s="104" t="s">
        <v>127</v>
      </c>
      <c r="Y74">
        <f>_xlfn.STDEV.S(Y42:Y55)</f>
        <v>0.11684567886182451</v>
      </c>
      <c r="Z74">
        <f>_xlfn.STDEV.S(Z42:Z73)</f>
        <v>0.14334122644283548</v>
      </c>
      <c r="AG74" s="215">
        <f>AVERAGE(AG66:AG73)</f>
        <v>0.29092395407257543</v>
      </c>
      <c r="AH74" s="215">
        <f>AVERAGE(AH66:AH73)</f>
        <v>9.9784298386079075E-3</v>
      </c>
    </row>
  </sheetData>
  <mergeCells count="8">
    <mergeCell ref="AD3:AH3"/>
    <mergeCell ref="Y4:Z4"/>
    <mergeCell ref="AA4:AB4"/>
    <mergeCell ref="C3:F3"/>
    <mergeCell ref="G3:J3"/>
    <mergeCell ref="L3:P3"/>
    <mergeCell ref="R3:V3"/>
    <mergeCell ref="X3:AB3"/>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G13" sqref="G13:M13"/>
    </sheetView>
  </sheetViews>
  <sheetFormatPr defaultRowHeight="15" x14ac:dyDescent="0.25"/>
  <cols>
    <col min="7" max="7" width="14.42578125" customWidth="1"/>
  </cols>
  <sheetData>
    <row r="1" spans="1:13" x14ac:dyDescent="0.25">
      <c r="A1" t="s">
        <v>60</v>
      </c>
    </row>
    <row r="3" spans="1:13" ht="15.75" thickBot="1" x14ac:dyDescent="0.3"/>
    <row r="4" spans="1:13" x14ac:dyDescent="0.25">
      <c r="E4" s="87"/>
      <c r="F4" s="88" t="s">
        <v>0</v>
      </c>
      <c r="G4" s="88" t="s">
        <v>3</v>
      </c>
      <c r="H4" s="88" t="s">
        <v>61</v>
      </c>
      <c r="I4" s="88" t="s">
        <v>62</v>
      </c>
      <c r="J4" s="88" t="s">
        <v>20</v>
      </c>
      <c r="K4" s="88" t="s">
        <v>63</v>
      </c>
      <c r="L4" s="88" t="s">
        <v>64</v>
      </c>
      <c r="M4" s="89" t="s">
        <v>65</v>
      </c>
    </row>
    <row r="5" spans="1:13" ht="15.75" x14ac:dyDescent="0.25">
      <c r="E5" s="90" t="s">
        <v>66</v>
      </c>
      <c r="F5" s="91" t="s">
        <v>67</v>
      </c>
      <c r="G5" s="91">
        <v>190</v>
      </c>
      <c r="H5" s="92">
        <v>193</v>
      </c>
      <c r="I5" s="93">
        <v>193</v>
      </c>
      <c r="J5" s="91">
        <v>6</v>
      </c>
      <c r="K5" s="94">
        <v>6</v>
      </c>
      <c r="L5" s="94" t="s">
        <v>68</v>
      </c>
      <c r="M5" s="95">
        <v>92</v>
      </c>
    </row>
    <row r="6" spans="1:13" ht="15.75" thickBot="1" x14ac:dyDescent="0.3">
      <c r="E6" s="84" t="s">
        <v>69</v>
      </c>
      <c r="F6" s="96" t="s">
        <v>67</v>
      </c>
      <c r="G6" s="97">
        <f>100-G8/H11*100</f>
        <v>99.99878302864407</v>
      </c>
      <c r="H6" s="97">
        <f>100-H8/H11*100</f>
        <v>99.998807907104492</v>
      </c>
      <c r="I6" s="97">
        <f>100-I8/H11*100</f>
        <v>99.998807907104492</v>
      </c>
      <c r="J6" s="97">
        <f>100-J8/H11*100</f>
        <v>99.999771947446078</v>
      </c>
      <c r="K6" s="97">
        <f>100-K8/H11*100</f>
        <v>99.999771947446078</v>
      </c>
      <c r="L6" s="97">
        <v>96</v>
      </c>
      <c r="M6" s="97">
        <f>100-M8/H11*100</f>
        <v>99.998836931974992</v>
      </c>
    </row>
    <row r="7" spans="1:13" ht="15.75" x14ac:dyDescent="0.25">
      <c r="E7" s="91"/>
      <c r="F7" s="91"/>
      <c r="G7" s="91"/>
      <c r="H7" s="98"/>
      <c r="I7" s="91"/>
      <c r="J7" s="99"/>
      <c r="K7" s="98"/>
      <c r="L7" s="98"/>
      <c r="M7" s="91"/>
    </row>
    <row r="8" spans="1:13" x14ac:dyDescent="0.25">
      <c r="E8" t="s">
        <v>70</v>
      </c>
      <c r="F8" s="99"/>
      <c r="G8">
        <v>587</v>
      </c>
      <c r="H8">
        <v>575</v>
      </c>
      <c r="I8">
        <v>575</v>
      </c>
      <c r="J8">
        <v>110</v>
      </c>
      <c r="K8">
        <v>110</v>
      </c>
      <c r="L8" t="s">
        <v>71</v>
      </c>
      <c r="M8">
        <v>561</v>
      </c>
    </row>
    <row r="10" spans="1:13" x14ac:dyDescent="0.25">
      <c r="G10" t="s">
        <v>74</v>
      </c>
      <c r="H10" t="s">
        <v>72</v>
      </c>
    </row>
    <row r="11" spans="1:13" x14ac:dyDescent="0.25">
      <c r="G11" t="s">
        <v>73</v>
      </c>
      <c r="H11" s="100">
        <v>48234496</v>
      </c>
    </row>
    <row r="13" spans="1:13" x14ac:dyDescent="0.25">
      <c r="G13">
        <f>100*G8/H11</f>
        <v>1.2169713559358017E-3</v>
      </c>
      <c r="H13">
        <f>100*H8/H11</f>
        <v>1.1920928955078125E-3</v>
      </c>
      <c r="I13">
        <f>100*I8/H11</f>
        <v>1.1920928955078125E-3</v>
      </c>
      <c r="J13">
        <f>100*J8/H11</f>
        <v>2.2805255392323369E-4</v>
      </c>
      <c r="K13">
        <f>100*K8/H11</f>
        <v>2.2805255392323369E-4</v>
      </c>
      <c r="L13" t="e">
        <f>100*L8/H11</f>
        <v>#VALUE!</v>
      </c>
      <c r="M13">
        <f>100*M8/H11</f>
        <v>1.1630680250084918E-3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
  <sheetViews>
    <sheetView topLeftCell="A8" workbookViewId="0">
      <selection activeCell="F21" sqref="F21"/>
    </sheetView>
  </sheetViews>
  <sheetFormatPr defaultRowHeight="15" x14ac:dyDescent="0.25"/>
  <cols>
    <col min="1" max="1" width="11.28515625" customWidth="1"/>
    <col min="2" max="2" width="19.42578125" customWidth="1"/>
    <col min="3" max="3" width="10.85546875" customWidth="1"/>
    <col min="7" max="8" width="9.5703125" bestFit="1" customWidth="1"/>
  </cols>
  <sheetData>
    <row r="1" spans="1:21" x14ac:dyDescent="0.25">
      <c r="A1" s="1"/>
      <c r="B1" s="2"/>
    </row>
    <row r="2" spans="1:21" ht="15.75" thickBot="1" x14ac:dyDescent="0.3">
      <c r="A2" s="1"/>
      <c r="B2" s="1"/>
    </row>
    <row r="3" spans="1:21" x14ac:dyDescent="0.25">
      <c r="A3" s="4" t="s">
        <v>1</v>
      </c>
      <c r="B3" s="5" t="s">
        <v>19</v>
      </c>
      <c r="C3" s="7" t="s">
        <v>20</v>
      </c>
    </row>
    <row r="4" spans="1:21" x14ac:dyDescent="0.25">
      <c r="A4" s="9" t="s">
        <v>4</v>
      </c>
      <c r="B4" s="10">
        <v>205</v>
      </c>
      <c r="C4" s="15">
        <v>45</v>
      </c>
      <c r="D4">
        <v>10</v>
      </c>
      <c r="E4">
        <v>5</v>
      </c>
    </row>
    <row r="5" spans="1:21" x14ac:dyDescent="0.25">
      <c r="A5" s="9" t="s">
        <v>5</v>
      </c>
      <c r="B5" s="10">
        <v>165</v>
      </c>
      <c r="C5" s="15">
        <v>30</v>
      </c>
      <c r="D5">
        <v>3</v>
      </c>
      <c r="E5">
        <v>10</v>
      </c>
      <c r="S5" t="s">
        <v>82</v>
      </c>
      <c r="U5" s="112">
        <f>B4-C4</f>
        <v>160</v>
      </c>
    </row>
    <row r="6" spans="1:21" x14ac:dyDescent="0.25">
      <c r="A6" s="9" t="s">
        <v>6</v>
      </c>
      <c r="B6" s="10">
        <v>179</v>
      </c>
      <c r="C6" s="15">
        <v>55</v>
      </c>
      <c r="D6">
        <v>15</v>
      </c>
      <c r="E6">
        <v>5</v>
      </c>
      <c r="U6" s="112">
        <f t="shared" ref="U6:U18" si="0">B5-C5</f>
        <v>135</v>
      </c>
    </row>
    <row r="7" spans="1:21" x14ac:dyDescent="0.25">
      <c r="A7" s="9" t="s">
        <v>7</v>
      </c>
      <c r="B7" s="11">
        <v>159</v>
      </c>
      <c r="C7" s="15">
        <v>41</v>
      </c>
      <c r="D7">
        <v>5</v>
      </c>
      <c r="E7">
        <v>3</v>
      </c>
      <c r="U7" s="112">
        <f t="shared" si="0"/>
        <v>124</v>
      </c>
    </row>
    <row r="8" spans="1:21" x14ac:dyDescent="0.25">
      <c r="A8" s="9" t="s">
        <v>8</v>
      </c>
      <c r="B8" s="11">
        <v>160</v>
      </c>
      <c r="C8" s="15">
        <v>42</v>
      </c>
      <c r="D8">
        <v>3</v>
      </c>
      <c r="E8">
        <v>5</v>
      </c>
      <c r="U8" s="112">
        <f t="shared" si="0"/>
        <v>118</v>
      </c>
    </row>
    <row r="9" spans="1:21" x14ac:dyDescent="0.25">
      <c r="A9" s="9" t="s">
        <v>9</v>
      </c>
      <c r="B9" s="11">
        <v>1620</v>
      </c>
      <c r="C9" s="15">
        <v>2157</v>
      </c>
      <c r="D9">
        <v>100</v>
      </c>
      <c r="E9">
        <v>70</v>
      </c>
      <c r="U9" s="112">
        <f t="shared" si="0"/>
        <v>118</v>
      </c>
    </row>
    <row r="10" spans="1:21" x14ac:dyDescent="0.25">
      <c r="A10" s="9" t="s">
        <v>10</v>
      </c>
      <c r="B10" s="11">
        <v>712</v>
      </c>
      <c r="C10" s="15">
        <v>586</v>
      </c>
      <c r="D10">
        <v>70</v>
      </c>
      <c r="E10">
        <v>5</v>
      </c>
      <c r="U10" s="112">
        <f t="shared" si="0"/>
        <v>-537</v>
      </c>
    </row>
    <row r="11" spans="1:21" x14ac:dyDescent="0.25">
      <c r="A11" s="9" t="s">
        <v>11</v>
      </c>
      <c r="B11" s="11">
        <v>385</v>
      </c>
      <c r="C11" s="16">
        <v>260</v>
      </c>
      <c r="D11">
        <v>30</v>
      </c>
      <c r="E11">
        <v>10</v>
      </c>
      <c r="U11" s="112">
        <f t="shared" si="0"/>
        <v>126</v>
      </c>
    </row>
    <row r="12" spans="1:21" x14ac:dyDescent="0.25">
      <c r="A12" s="9" t="s">
        <v>12</v>
      </c>
      <c r="B12" s="11">
        <v>305</v>
      </c>
      <c r="C12" s="15">
        <v>200</v>
      </c>
      <c r="D12">
        <v>25</v>
      </c>
      <c r="E12">
        <v>45</v>
      </c>
      <c r="U12" s="112">
        <f t="shared" si="0"/>
        <v>125</v>
      </c>
    </row>
    <row r="13" spans="1:21" x14ac:dyDescent="0.25">
      <c r="A13" s="9" t="s">
        <v>13</v>
      </c>
      <c r="B13" s="11">
        <v>6045</v>
      </c>
      <c r="C13" s="15">
        <v>13713</v>
      </c>
      <c r="D13">
        <v>90</v>
      </c>
      <c r="E13">
        <v>50</v>
      </c>
      <c r="U13" s="112">
        <f t="shared" si="0"/>
        <v>105</v>
      </c>
    </row>
    <row r="14" spans="1:21" x14ac:dyDescent="0.25">
      <c r="A14" s="9" t="s">
        <v>14</v>
      </c>
      <c r="B14" s="11">
        <v>153</v>
      </c>
      <c r="C14" s="15">
        <v>7429</v>
      </c>
      <c r="D14">
        <v>10</v>
      </c>
      <c r="E14">
        <v>150</v>
      </c>
      <c r="U14" s="112">
        <f t="shared" si="0"/>
        <v>-7668</v>
      </c>
    </row>
    <row r="15" spans="1:21" x14ac:dyDescent="0.25">
      <c r="A15" s="9" t="s">
        <v>15</v>
      </c>
      <c r="B15" s="11">
        <v>2380</v>
      </c>
      <c r="C15" s="15">
        <v>3512</v>
      </c>
      <c r="D15">
        <v>20</v>
      </c>
      <c r="E15">
        <v>100</v>
      </c>
      <c r="U15" s="112">
        <f t="shared" si="0"/>
        <v>-7276</v>
      </c>
    </row>
    <row r="16" spans="1:21" x14ac:dyDescent="0.25">
      <c r="A16" s="9" t="s">
        <v>16</v>
      </c>
      <c r="B16" s="11">
        <v>238</v>
      </c>
      <c r="C16" s="15">
        <v>5808</v>
      </c>
      <c r="D16">
        <v>5</v>
      </c>
      <c r="E16">
        <v>200</v>
      </c>
      <c r="U16" s="112">
        <f t="shared" si="0"/>
        <v>-1132</v>
      </c>
    </row>
    <row r="17" spans="1:21" x14ac:dyDescent="0.25">
      <c r="A17" s="9" t="s">
        <v>17</v>
      </c>
      <c r="B17" s="11">
        <v>1604</v>
      </c>
      <c r="C17" s="15">
        <v>2964</v>
      </c>
      <c r="D17">
        <v>60</v>
      </c>
      <c r="E17">
        <v>50</v>
      </c>
      <c r="U17" s="112">
        <f t="shared" si="0"/>
        <v>-5570</v>
      </c>
    </row>
    <row r="18" spans="1:21" ht="15.75" thickBot="1" x14ac:dyDescent="0.3">
      <c r="A18" s="12" t="s">
        <v>136</v>
      </c>
      <c r="B18" s="13">
        <f>AVERAGE(B4:B17)</f>
        <v>1022.1428571428571</v>
      </c>
      <c r="C18" s="13">
        <f>AVERAGE(C4:C17)</f>
        <v>2631.5714285714284</v>
      </c>
      <c r="D18" t="s">
        <v>79</v>
      </c>
      <c r="U18" s="112">
        <f t="shared" si="0"/>
        <v>-1360</v>
      </c>
    </row>
    <row r="19" spans="1:21" x14ac:dyDescent="0.25">
      <c r="A19" s="4"/>
      <c r="B19" s="5" t="s">
        <v>19</v>
      </c>
      <c r="C19" s="7" t="s">
        <v>20</v>
      </c>
    </row>
    <row r="20" spans="1:21" x14ac:dyDescent="0.25">
      <c r="A20" s="9" t="s">
        <v>23</v>
      </c>
      <c r="B20" s="10" t="s">
        <v>33</v>
      </c>
      <c r="C20" s="15">
        <v>9987</v>
      </c>
      <c r="E20" t="s">
        <v>80</v>
      </c>
    </row>
    <row r="21" spans="1:21" x14ac:dyDescent="0.25">
      <c r="A21" s="9" t="s">
        <v>24</v>
      </c>
      <c r="B21" s="10">
        <v>4106</v>
      </c>
      <c r="C21" s="15" t="s">
        <v>34</v>
      </c>
      <c r="E21" t="s">
        <v>80</v>
      </c>
    </row>
    <row r="22" spans="1:21" x14ac:dyDescent="0.25">
      <c r="A22" s="9" t="s">
        <v>25</v>
      </c>
      <c r="B22" s="10">
        <v>4234</v>
      </c>
      <c r="C22" s="15" t="s">
        <v>34</v>
      </c>
      <c r="D22">
        <v>100</v>
      </c>
      <c r="H22">
        <f>100-100*67/142</f>
        <v>52.816901408450704</v>
      </c>
    </row>
    <row r="23" spans="1:21" x14ac:dyDescent="0.25">
      <c r="A23" s="9" t="s">
        <v>26</v>
      </c>
      <c r="B23" s="11">
        <v>380</v>
      </c>
      <c r="C23" s="15">
        <v>145510</v>
      </c>
      <c r="D23">
        <v>70</v>
      </c>
    </row>
    <row r="24" spans="1:21" x14ac:dyDescent="0.25">
      <c r="A24" s="9" t="s">
        <v>27</v>
      </c>
      <c r="B24" s="11" t="s">
        <v>34</v>
      </c>
      <c r="C24" s="15" t="s">
        <v>33</v>
      </c>
    </row>
    <row r="25" spans="1:21" x14ac:dyDescent="0.25">
      <c r="A25" s="9" t="s">
        <v>28</v>
      </c>
      <c r="B25" s="11">
        <v>30587</v>
      </c>
      <c r="C25" s="15">
        <v>19741</v>
      </c>
      <c r="D25">
        <v>200</v>
      </c>
    </row>
    <row r="26" spans="1:21" x14ac:dyDescent="0.25">
      <c r="A26" s="9" t="s">
        <v>29</v>
      </c>
      <c r="B26" s="11">
        <v>1012</v>
      </c>
      <c r="C26" s="15">
        <v>1213</v>
      </c>
    </row>
    <row r="27" spans="1:21" x14ac:dyDescent="0.25">
      <c r="A27" s="9" t="s">
        <v>30</v>
      </c>
      <c r="B27" s="11">
        <v>7162</v>
      </c>
      <c r="C27" s="16">
        <v>2534</v>
      </c>
      <c r="D27">
        <v>10</v>
      </c>
    </row>
    <row r="28" spans="1:21" x14ac:dyDescent="0.25">
      <c r="A28" s="9" t="s">
        <v>31</v>
      </c>
      <c r="B28" s="11" t="s">
        <v>34</v>
      </c>
      <c r="C28" s="15">
        <v>20320</v>
      </c>
    </row>
    <row r="29" spans="1:21" x14ac:dyDescent="0.25">
      <c r="A29" s="9" t="s">
        <v>32</v>
      </c>
      <c r="B29" s="11">
        <v>2590</v>
      </c>
      <c r="C29" s="15">
        <v>16878</v>
      </c>
      <c r="D29">
        <v>10</v>
      </c>
    </row>
    <row r="30" spans="1:21" ht="15.75" thickBot="1" x14ac:dyDescent="0.3">
      <c r="A30" s="12" t="s">
        <v>136</v>
      </c>
      <c r="B30" s="13">
        <f>AVERAGE(B29,B27,B26,B25,B23,B22,B21,B31)</f>
        <v>306258.875</v>
      </c>
      <c r="C30" s="13">
        <f>AVERAGE(C29,C25:C27,C23,C20,C31)</f>
        <v>370837.57142857142</v>
      </c>
    </row>
    <row r="31" spans="1:21" x14ac:dyDescent="0.25">
      <c r="B31" s="3">
        <v>2400000</v>
      </c>
      <c r="C31">
        <v>2400000</v>
      </c>
      <c r="D31" t="s">
        <v>81</v>
      </c>
    </row>
    <row r="32" spans="1:21" x14ac:dyDescent="0.25">
      <c r="A32" t="s">
        <v>35</v>
      </c>
    </row>
    <row r="33" spans="1:8" x14ac:dyDescent="0.25">
      <c r="A33" t="s">
        <v>36</v>
      </c>
      <c r="G33" s="105">
        <f>Runtimes_SPARQL1.0!E18</f>
        <v>47228.428571428572</v>
      </c>
      <c r="H33" s="105">
        <f>Runtimes_SPARQL1.0!E31</f>
        <v>374057.28571428574</v>
      </c>
    </row>
    <row r="34" spans="1:8" x14ac:dyDescent="0.25">
      <c r="A34" t="s">
        <v>37</v>
      </c>
      <c r="G34">
        <f>100-100*C18/G33</f>
        <v>94.427992825144656</v>
      </c>
      <c r="H34">
        <f>100-100*C30/H33</f>
        <v>0.86075433060101147</v>
      </c>
    </row>
    <row r="35" spans="1:8" x14ac:dyDescent="0.25">
      <c r="A35" t="s">
        <v>38</v>
      </c>
    </row>
    <row r="37" spans="1:8" ht="15.75" thickBot="1" x14ac:dyDescent="0.3">
      <c r="G37" s="13">
        <f>Runtimes_SPARQL1.0!C31</f>
        <v>428496.75</v>
      </c>
      <c r="H37" s="105">
        <f>Runtimes_SPARQL1.0!C18</f>
        <v>4400.8571428571431</v>
      </c>
    </row>
    <row r="38" spans="1:8" x14ac:dyDescent="0.25">
      <c r="A38" s="4" t="s">
        <v>1</v>
      </c>
      <c r="B38" s="5" t="s">
        <v>19</v>
      </c>
      <c r="C38" s="7" t="s">
        <v>20</v>
      </c>
      <c r="G38">
        <f>100-100*B30/G37</f>
        <v>28.527141687772428</v>
      </c>
      <c r="H38">
        <f>100-100*B18/H37</f>
        <v>76.774005063948579</v>
      </c>
    </row>
    <row r="39" spans="1:8" x14ac:dyDescent="0.25">
      <c r="A39" s="9" t="s">
        <v>39</v>
      </c>
      <c r="B39" s="10" t="s">
        <v>34</v>
      </c>
      <c r="C39" s="10" t="s">
        <v>34</v>
      </c>
    </row>
    <row r="40" spans="1:8" x14ac:dyDescent="0.25">
      <c r="A40" s="9" t="s">
        <v>40</v>
      </c>
      <c r="B40" s="10" t="s">
        <v>47</v>
      </c>
      <c r="C40" s="10" t="s">
        <v>34</v>
      </c>
    </row>
    <row r="41" spans="1:8" x14ac:dyDescent="0.25">
      <c r="A41" s="9" t="s">
        <v>41</v>
      </c>
      <c r="B41" s="10" t="s">
        <v>47</v>
      </c>
      <c r="C41" s="10" t="s">
        <v>34</v>
      </c>
    </row>
    <row r="42" spans="1:8" x14ac:dyDescent="0.25">
      <c r="A42" s="9" t="s">
        <v>42</v>
      </c>
      <c r="B42" s="10" t="s">
        <v>34</v>
      </c>
      <c r="C42" s="10" t="s">
        <v>34</v>
      </c>
    </row>
    <row r="43" spans="1:8" x14ac:dyDescent="0.25">
      <c r="A43" s="9" t="s">
        <v>43</v>
      </c>
      <c r="B43" s="10" t="s">
        <v>47</v>
      </c>
      <c r="C43" s="10" t="s">
        <v>33</v>
      </c>
    </row>
    <row r="44" spans="1:8" x14ac:dyDescent="0.25">
      <c r="A44" s="9" t="s">
        <v>44</v>
      </c>
      <c r="B44" s="10" t="s">
        <v>34</v>
      </c>
      <c r="C44" s="10" t="s">
        <v>34</v>
      </c>
    </row>
    <row r="45" spans="1:8" x14ac:dyDescent="0.25">
      <c r="A45" s="9" t="s">
        <v>45</v>
      </c>
      <c r="B45" s="10" t="s">
        <v>34</v>
      </c>
      <c r="C45" s="10">
        <v>104434</v>
      </c>
      <c r="E45" t="s">
        <v>83</v>
      </c>
    </row>
    <row r="46" spans="1:8" x14ac:dyDescent="0.25">
      <c r="A46" s="9" t="s">
        <v>46</v>
      </c>
      <c r="B46" s="11" t="s">
        <v>34</v>
      </c>
      <c r="C46" s="11" t="s">
        <v>34</v>
      </c>
    </row>
    <row r="47" spans="1:8" ht="15.75" thickBot="1" x14ac:dyDescent="0.3">
      <c r="A47" s="12"/>
      <c r="B47" s="13"/>
      <c r="C47" s="13"/>
    </row>
    <row r="48" spans="1:8" x14ac:dyDescent="0.25">
      <c r="A48" s="18" t="s">
        <v>48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O34"/>
  <sheetViews>
    <sheetView workbookViewId="0">
      <selection activeCell="D23" sqref="D23"/>
    </sheetView>
  </sheetViews>
  <sheetFormatPr defaultRowHeight="15" x14ac:dyDescent="0.25"/>
  <cols>
    <col min="2" max="2" width="29.28515625" customWidth="1"/>
    <col min="3" max="3" width="14.7109375" customWidth="1"/>
    <col min="4" max="4" width="18.42578125" customWidth="1"/>
    <col min="5" max="5" width="13.140625" customWidth="1"/>
    <col min="6" max="6" width="22.28515625" customWidth="1"/>
    <col min="8" max="8" width="23.42578125" customWidth="1"/>
  </cols>
  <sheetData>
    <row r="5" spans="2:6" ht="15.75" thickBot="1" x14ac:dyDescent="0.3">
      <c r="B5" s="234" t="s">
        <v>115</v>
      </c>
      <c r="C5" s="234"/>
      <c r="D5" s="234"/>
      <c r="E5" s="234"/>
      <c r="F5" s="234"/>
    </row>
    <row r="6" spans="2:6" ht="15.75" thickBot="1" x14ac:dyDescent="0.3">
      <c r="B6" s="124" t="s">
        <v>114</v>
      </c>
      <c r="C6" s="126" t="s">
        <v>91</v>
      </c>
      <c r="D6" s="127" t="s">
        <v>93</v>
      </c>
      <c r="E6" s="128" t="s">
        <v>145</v>
      </c>
      <c r="F6" s="129" t="s">
        <v>146</v>
      </c>
    </row>
    <row r="7" spans="2:6" ht="15.75" thickBot="1" x14ac:dyDescent="0.3">
      <c r="B7" s="147" t="s">
        <v>110</v>
      </c>
      <c r="C7" s="149">
        <v>0.34</v>
      </c>
      <c r="D7" s="125">
        <f>AVERAGE(C7:C21)</f>
        <v>0.58075357421930018</v>
      </c>
      <c r="E7" s="149">
        <v>0.34</v>
      </c>
      <c r="F7" s="125">
        <f>AVERAGE(E7:E19)</f>
        <v>0.65769230769230758</v>
      </c>
    </row>
    <row r="8" spans="2:6" ht="15.75" thickBot="1" x14ac:dyDescent="0.3">
      <c r="B8" s="148" t="s">
        <v>119</v>
      </c>
      <c r="C8" s="150">
        <v>0.19600000000000001</v>
      </c>
      <c r="D8" s="95">
        <f>D7</f>
        <v>0.58075357421930018</v>
      </c>
      <c r="E8" s="150">
        <v>0.19600000000000001</v>
      </c>
      <c r="F8" s="125">
        <f>AVERAGE(E8:E20)</f>
        <v>0.65195747906480217</v>
      </c>
    </row>
    <row r="9" spans="2:6" ht="15.75" thickBot="1" x14ac:dyDescent="0.3">
      <c r="B9" s="148" t="s">
        <v>117</v>
      </c>
      <c r="C9" s="150">
        <v>0.72599999999999998</v>
      </c>
      <c r="D9" s="95">
        <f t="shared" ref="D9:D15" si="0">D8</f>
        <v>0.58075357421930018</v>
      </c>
      <c r="E9" s="150">
        <v>0.72599999999999998</v>
      </c>
      <c r="F9" s="95">
        <f>F8</f>
        <v>0.65195747906480217</v>
      </c>
    </row>
    <row r="10" spans="2:6" ht="15.75" thickBot="1" x14ac:dyDescent="0.3">
      <c r="B10" s="148" t="s">
        <v>133</v>
      </c>
      <c r="C10" s="150">
        <v>0.51800000000000002</v>
      </c>
      <c r="D10" s="95">
        <f t="shared" si="0"/>
        <v>0.58075357421930018</v>
      </c>
      <c r="E10" s="150">
        <v>0.51800000000000002</v>
      </c>
      <c r="F10" s="95">
        <f t="shared" ref="F10:F19" si="1">F9</f>
        <v>0.65195747906480217</v>
      </c>
    </row>
    <row r="11" spans="2:6" ht="15.75" thickBot="1" x14ac:dyDescent="0.3">
      <c r="B11" s="148" t="s">
        <v>111</v>
      </c>
      <c r="C11" s="150">
        <v>0.96099999999999997</v>
      </c>
      <c r="D11" s="95">
        <f t="shared" si="0"/>
        <v>0.58075357421930018</v>
      </c>
      <c r="E11" s="150">
        <v>0.96099999999999997</v>
      </c>
      <c r="F11" s="95">
        <f t="shared" si="1"/>
        <v>0.65195747906480217</v>
      </c>
    </row>
    <row r="12" spans="2:6" ht="15.75" thickBot="1" x14ac:dyDescent="0.3">
      <c r="B12" s="148" t="s">
        <v>112</v>
      </c>
      <c r="C12" s="150">
        <v>0.91900000000000004</v>
      </c>
      <c r="D12" s="95">
        <f t="shared" si="0"/>
        <v>0.58075357421930018</v>
      </c>
      <c r="E12" s="150">
        <v>0.91900000000000004</v>
      </c>
      <c r="F12" s="95">
        <f t="shared" si="1"/>
        <v>0.65195747906480217</v>
      </c>
    </row>
    <row r="13" spans="2:6" ht="15.75" thickBot="1" x14ac:dyDescent="0.3">
      <c r="B13" s="148" t="s">
        <v>134</v>
      </c>
      <c r="C13" s="150">
        <v>0.72899999999999998</v>
      </c>
      <c r="D13" s="95">
        <f t="shared" si="0"/>
        <v>0.58075357421930018</v>
      </c>
      <c r="E13" s="150">
        <v>0.72899999999999998</v>
      </c>
      <c r="F13" s="95">
        <f t="shared" si="1"/>
        <v>0.65195747906480217</v>
      </c>
    </row>
    <row r="14" spans="2:6" ht="15.75" thickBot="1" x14ac:dyDescent="0.3">
      <c r="B14" s="148" t="s">
        <v>135</v>
      </c>
      <c r="C14" s="150">
        <v>0.73099999999999998</v>
      </c>
      <c r="D14" s="95">
        <f t="shared" si="0"/>
        <v>0.58075357421930018</v>
      </c>
      <c r="E14" s="150">
        <v>0.73099999999999998</v>
      </c>
      <c r="F14" s="95">
        <f t="shared" si="1"/>
        <v>0.65195747906480217</v>
      </c>
    </row>
    <row r="15" spans="2:6" ht="15.75" thickBot="1" x14ac:dyDescent="0.3">
      <c r="B15" s="148" t="s">
        <v>132</v>
      </c>
      <c r="C15" s="150">
        <v>0.42599999999999999</v>
      </c>
      <c r="D15" s="95">
        <f t="shared" si="0"/>
        <v>0.58075357421930018</v>
      </c>
      <c r="E15" s="150">
        <v>0.42599999999999999</v>
      </c>
      <c r="F15" s="95">
        <f t="shared" si="1"/>
        <v>0.65195747906480217</v>
      </c>
    </row>
    <row r="16" spans="2:6" ht="15.75" thickBot="1" x14ac:dyDescent="0.3">
      <c r="B16" s="148" t="s">
        <v>120</v>
      </c>
      <c r="C16" s="9"/>
      <c r="D16" s="95"/>
      <c r="E16" s="150">
        <v>1</v>
      </c>
      <c r="F16" s="95">
        <f t="shared" si="1"/>
        <v>0.65195747906480217</v>
      </c>
    </row>
    <row r="17" spans="2:15" ht="15.75" thickBot="1" x14ac:dyDescent="0.3">
      <c r="B17" s="148" t="s">
        <v>113</v>
      </c>
      <c r="C17" s="150"/>
      <c r="D17" s="95"/>
      <c r="E17" s="150">
        <v>0.50600000000000001</v>
      </c>
      <c r="F17" s="95">
        <f t="shared" si="1"/>
        <v>0.65195747906480217</v>
      </c>
    </row>
    <row r="18" spans="2:15" ht="15.75" thickBot="1" x14ac:dyDescent="0.3">
      <c r="B18" s="148" t="s">
        <v>121</v>
      </c>
      <c r="C18" s="9"/>
      <c r="D18" s="95"/>
      <c r="E18" s="150">
        <v>1</v>
      </c>
      <c r="F18" s="95">
        <f t="shared" si="1"/>
        <v>0.65195747906480217</v>
      </c>
    </row>
    <row r="19" spans="2:15" ht="15.75" thickBot="1" x14ac:dyDescent="0.3">
      <c r="B19" s="151" t="s">
        <v>122</v>
      </c>
      <c r="C19" s="9"/>
      <c r="D19" s="95"/>
      <c r="E19" s="152">
        <v>0.498</v>
      </c>
      <c r="F19" s="95">
        <f t="shared" si="1"/>
        <v>0.65195747906480217</v>
      </c>
    </row>
    <row r="20" spans="2:15" ht="15.75" thickBot="1" x14ac:dyDescent="0.3">
      <c r="B20" s="153" t="s">
        <v>118</v>
      </c>
      <c r="C20" s="155">
        <f>_xlfn.STDEV.S(C7:C15)</f>
        <v>0.26153574219300196</v>
      </c>
      <c r="D20" s="154"/>
      <c r="E20" s="155">
        <f>_xlfn.STDEV.S(E7:E19)</f>
        <v>0.26544722784242997</v>
      </c>
      <c r="F20" s="154"/>
    </row>
    <row r="21" spans="2:15" ht="15.75" thickBot="1" x14ac:dyDescent="0.3"/>
    <row r="22" spans="2:15" ht="15.75" thickBot="1" x14ac:dyDescent="0.3">
      <c r="H22" s="131"/>
      <c r="I22" s="131"/>
      <c r="J22" s="131"/>
      <c r="K22" s="131"/>
      <c r="L22" s="131"/>
      <c r="M22" s="131"/>
      <c r="N22" s="131"/>
      <c r="O22" s="131"/>
    </row>
    <row r="23" spans="2:15" ht="15.75" thickBot="1" x14ac:dyDescent="0.3">
      <c r="H23" s="131"/>
      <c r="I23" s="131"/>
      <c r="J23" s="131"/>
      <c r="K23" s="131"/>
      <c r="L23" s="131"/>
      <c r="M23" s="131"/>
      <c r="N23" s="131"/>
      <c r="O23" s="131"/>
    </row>
    <row r="24" spans="2:15" ht="15.75" thickBot="1" x14ac:dyDescent="0.3">
      <c r="F24" t="s">
        <v>116</v>
      </c>
      <c r="H24" s="131"/>
      <c r="I24" s="131"/>
      <c r="J24" s="131"/>
      <c r="K24" s="131"/>
      <c r="L24" s="131"/>
      <c r="M24" s="131"/>
      <c r="N24" s="131"/>
      <c r="O24" s="131"/>
    </row>
    <row r="25" spans="2:15" ht="15.75" thickBot="1" x14ac:dyDescent="0.3">
      <c r="H25" s="131"/>
      <c r="I25" s="131"/>
      <c r="J25" s="131"/>
      <c r="K25" s="131"/>
      <c r="L25" s="131"/>
      <c r="M25" s="131"/>
      <c r="N25" s="131"/>
      <c r="O25" s="131"/>
    </row>
    <row r="26" spans="2:15" ht="15.75" thickBot="1" x14ac:dyDescent="0.3">
      <c r="H26" s="131"/>
      <c r="I26" s="131"/>
      <c r="J26" s="131"/>
      <c r="K26" s="131"/>
      <c r="L26" s="131"/>
      <c r="M26" s="131"/>
      <c r="N26" s="131"/>
      <c r="O26" s="131"/>
    </row>
    <row r="27" spans="2:15" ht="15.75" thickBot="1" x14ac:dyDescent="0.3">
      <c r="H27" s="131"/>
      <c r="I27" s="131"/>
      <c r="J27" s="131"/>
      <c r="K27" s="131"/>
      <c r="L27" s="131"/>
      <c r="M27" s="131"/>
      <c r="N27" s="131"/>
      <c r="O27" s="131"/>
    </row>
    <row r="28" spans="2:15" ht="15.75" thickBot="1" x14ac:dyDescent="0.3">
      <c r="H28" s="131"/>
      <c r="I28" s="131"/>
      <c r="J28" s="131"/>
      <c r="K28" s="131"/>
      <c r="L28" s="131"/>
      <c r="M28" s="131"/>
      <c r="N28" s="131"/>
      <c r="O28" s="131"/>
    </row>
    <row r="29" spans="2:15" ht="15.75" thickBot="1" x14ac:dyDescent="0.3">
      <c r="H29" s="131"/>
      <c r="I29" s="131"/>
      <c r="J29" s="131"/>
      <c r="K29" s="131"/>
      <c r="L29" s="131"/>
      <c r="M29" s="131"/>
      <c r="N29" s="131"/>
      <c r="O29" s="131"/>
    </row>
    <row r="30" spans="2:15" ht="15.75" thickBot="1" x14ac:dyDescent="0.3">
      <c r="H30" s="131"/>
      <c r="I30" s="131"/>
      <c r="J30" s="131"/>
      <c r="K30" s="131"/>
      <c r="L30" s="131"/>
      <c r="M30" s="131"/>
      <c r="N30" s="131"/>
      <c r="O30" s="131"/>
    </row>
    <row r="31" spans="2:15" ht="15.75" thickBot="1" x14ac:dyDescent="0.3">
      <c r="H31" s="131"/>
      <c r="I31" s="131"/>
      <c r="J31" s="131"/>
      <c r="K31" s="131"/>
      <c r="L31" s="131"/>
      <c r="M31" s="131"/>
      <c r="N31" s="131"/>
      <c r="O31" s="131"/>
    </row>
    <row r="32" spans="2:15" ht="15.75" thickBot="1" x14ac:dyDescent="0.3">
      <c r="H32" s="131"/>
      <c r="I32" s="131"/>
      <c r="J32" s="131"/>
      <c r="K32" s="131"/>
      <c r="L32" s="131"/>
      <c r="M32" s="131"/>
      <c r="N32" s="131"/>
      <c r="O32" s="131"/>
    </row>
    <row r="33" spans="8:15" ht="15.75" thickBot="1" x14ac:dyDescent="0.3">
      <c r="H33" s="131"/>
      <c r="I33" s="131"/>
      <c r="J33" s="131"/>
      <c r="K33" s="131"/>
      <c r="L33" s="131"/>
      <c r="M33" s="131"/>
      <c r="N33" s="131"/>
      <c r="O33" s="131"/>
    </row>
    <row r="34" spans="8:15" ht="15.75" thickBot="1" x14ac:dyDescent="0.3">
      <c r="H34" s="131"/>
      <c r="I34" s="133"/>
      <c r="J34" s="133"/>
      <c r="K34" s="133"/>
      <c r="L34" s="133"/>
      <c r="M34" s="133"/>
      <c r="N34" s="133"/>
      <c r="O34" s="134"/>
    </row>
  </sheetData>
  <mergeCells count="1">
    <mergeCell ref="B5:F5"/>
  </mergeCells>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3:O39"/>
  <sheetViews>
    <sheetView topLeftCell="C1" workbookViewId="0">
      <selection activeCell="F14" sqref="F14"/>
    </sheetView>
  </sheetViews>
  <sheetFormatPr defaultRowHeight="15" x14ac:dyDescent="0.25"/>
  <cols>
    <col min="8" max="8" width="10.85546875" customWidth="1"/>
    <col min="9" max="9" width="9.5703125" customWidth="1"/>
    <col min="10" max="10" width="18.7109375" customWidth="1"/>
    <col min="11" max="11" width="17.7109375" customWidth="1"/>
    <col min="12" max="12" width="15.7109375" customWidth="1"/>
    <col min="13" max="13" width="18.85546875" customWidth="1"/>
    <col min="14" max="14" width="19" customWidth="1"/>
    <col min="15" max="15" width="15.85546875" customWidth="1"/>
    <col min="24" max="25" width="16.5703125" customWidth="1"/>
  </cols>
  <sheetData>
    <row r="3" spans="7:15" ht="15.75" thickBot="1" x14ac:dyDescent="0.3"/>
    <row r="4" spans="7:15" ht="32.25" customHeight="1" thickBot="1" x14ac:dyDescent="0.3">
      <c r="G4" s="160" t="s">
        <v>1</v>
      </c>
      <c r="H4" s="161" t="s">
        <v>148</v>
      </c>
      <c r="I4" s="161" t="s">
        <v>149</v>
      </c>
      <c r="J4" s="161" t="s">
        <v>150</v>
      </c>
      <c r="K4" s="161" t="s">
        <v>95</v>
      </c>
      <c r="L4" s="161" t="s">
        <v>89</v>
      </c>
      <c r="M4" s="161" t="s">
        <v>86</v>
      </c>
      <c r="N4" s="161" t="s">
        <v>151</v>
      </c>
      <c r="O4" s="162" t="s">
        <v>152</v>
      </c>
    </row>
    <row r="5" spans="7:15" ht="18" thickBot="1" x14ac:dyDescent="0.3">
      <c r="G5" s="163" t="s">
        <v>4</v>
      </c>
      <c r="H5" s="158" t="s">
        <v>96</v>
      </c>
      <c r="I5" s="158">
        <v>3</v>
      </c>
      <c r="J5" s="158">
        <v>2</v>
      </c>
      <c r="K5" s="158">
        <v>90</v>
      </c>
      <c r="L5" s="158">
        <v>1</v>
      </c>
      <c r="M5" s="158">
        <v>2</v>
      </c>
      <c r="N5" s="158">
        <v>0.333334927</v>
      </c>
      <c r="O5" s="164" t="s">
        <v>107</v>
      </c>
    </row>
    <row r="6" spans="7:15" ht="24.75" customHeight="1" thickBot="1" x14ac:dyDescent="0.3">
      <c r="G6" s="165" t="s">
        <v>5</v>
      </c>
      <c r="H6" s="159" t="s">
        <v>96</v>
      </c>
      <c r="I6" s="159">
        <v>3</v>
      </c>
      <c r="J6" s="159">
        <v>2</v>
      </c>
      <c r="K6" s="159">
        <v>1</v>
      </c>
      <c r="L6" s="159">
        <v>2</v>
      </c>
      <c r="M6" s="159">
        <v>2</v>
      </c>
      <c r="N6" s="159">
        <v>7.3916590000000001E-3</v>
      </c>
      <c r="O6" s="166" t="s">
        <v>153</v>
      </c>
    </row>
    <row r="7" spans="7:15" ht="18" customHeight="1" thickBot="1" x14ac:dyDescent="0.3">
      <c r="G7" s="163" t="s">
        <v>6</v>
      </c>
      <c r="H7" s="158" t="s">
        <v>98</v>
      </c>
      <c r="I7" s="158">
        <v>5</v>
      </c>
      <c r="J7" s="158">
        <v>5</v>
      </c>
      <c r="K7" s="158">
        <v>2</v>
      </c>
      <c r="L7" s="158">
        <v>2</v>
      </c>
      <c r="M7" s="158">
        <v>3</v>
      </c>
      <c r="N7" s="158">
        <v>8.8895710000000006E-3</v>
      </c>
      <c r="O7" s="164" t="s">
        <v>153</v>
      </c>
    </row>
    <row r="8" spans="7:15" ht="18" thickBot="1" x14ac:dyDescent="0.3">
      <c r="G8" s="165" t="s">
        <v>7</v>
      </c>
      <c r="H8" s="159" t="s">
        <v>97</v>
      </c>
      <c r="I8" s="159">
        <v>5</v>
      </c>
      <c r="J8" s="159">
        <v>5</v>
      </c>
      <c r="K8" s="159">
        <v>1</v>
      </c>
      <c r="L8" s="159">
        <v>5</v>
      </c>
      <c r="M8" s="159">
        <v>2</v>
      </c>
      <c r="N8" s="159">
        <v>1.9295158E-2</v>
      </c>
      <c r="O8" s="166" t="s">
        <v>153</v>
      </c>
    </row>
    <row r="9" spans="7:15" ht="18" thickBot="1" x14ac:dyDescent="0.3">
      <c r="G9" s="163" t="s">
        <v>8</v>
      </c>
      <c r="H9" s="158" t="s">
        <v>97</v>
      </c>
      <c r="I9" s="158">
        <v>4</v>
      </c>
      <c r="J9" s="158">
        <v>5</v>
      </c>
      <c r="K9" s="158">
        <v>2</v>
      </c>
      <c r="L9" s="158">
        <v>3</v>
      </c>
      <c r="M9" s="158">
        <v>2</v>
      </c>
      <c r="N9" s="158">
        <v>6.1693759999999999E-3</v>
      </c>
      <c r="O9" s="164" t="s">
        <v>153</v>
      </c>
    </row>
    <row r="10" spans="7:15" ht="18" thickBot="1" x14ac:dyDescent="0.3">
      <c r="G10" s="165" t="s">
        <v>9</v>
      </c>
      <c r="H10" s="159" t="s">
        <v>97</v>
      </c>
      <c r="I10" s="159">
        <v>4</v>
      </c>
      <c r="J10" s="159">
        <v>4</v>
      </c>
      <c r="K10" s="159">
        <v>11</v>
      </c>
      <c r="L10" s="159">
        <v>3</v>
      </c>
      <c r="M10" s="159">
        <v>2</v>
      </c>
      <c r="N10" s="159">
        <v>1.9395936999999999E-2</v>
      </c>
      <c r="O10" s="166" t="s">
        <v>153</v>
      </c>
    </row>
    <row r="11" spans="7:15" ht="18" thickBot="1" x14ac:dyDescent="0.3">
      <c r="G11" s="163" t="s">
        <v>10</v>
      </c>
      <c r="H11" s="158" t="s">
        <v>97</v>
      </c>
      <c r="I11" s="158">
        <v>4</v>
      </c>
      <c r="J11" s="158">
        <v>5</v>
      </c>
      <c r="K11" s="158">
        <v>1</v>
      </c>
      <c r="L11" s="158">
        <v>3</v>
      </c>
      <c r="M11" s="158">
        <v>2</v>
      </c>
      <c r="N11" s="158">
        <v>2.0198747E-2</v>
      </c>
      <c r="O11" s="164" t="s">
        <v>153</v>
      </c>
    </row>
    <row r="12" spans="7:15" ht="18" thickBot="1" x14ac:dyDescent="0.3">
      <c r="G12" s="165" t="s">
        <v>11</v>
      </c>
      <c r="H12" s="159" t="s">
        <v>68</v>
      </c>
      <c r="I12" s="159">
        <v>2</v>
      </c>
      <c r="J12" s="159">
        <v>2</v>
      </c>
      <c r="K12" s="159">
        <v>1159</v>
      </c>
      <c r="L12" s="159">
        <v>0</v>
      </c>
      <c r="M12" s="159" t="s">
        <v>67</v>
      </c>
      <c r="N12" s="159">
        <v>1.1208399999999999E-3</v>
      </c>
      <c r="O12" s="166" t="s">
        <v>107</v>
      </c>
    </row>
    <row r="13" spans="7:15" ht="18" thickBot="1" x14ac:dyDescent="0.3">
      <c r="G13" s="163" t="s">
        <v>12</v>
      </c>
      <c r="H13" s="158" t="s">
        <v>97</v>
      </c>
      <c r="I13" s="158">
        <v>3</v>
      </c>
      <c r="J13" s="158">
        <v>4</v>
      </c>
      <c r="K13" s="158">
        <v>333</v>
      </c>
      <c r="L13" s="158">
        <v>1</v>
      </c>
      <c r="M13" s="158">
        <v>2</v>
      </c>
      <c r="N13" s="158">
        <v>0.33354479999999997</v>
      </c>
      <c r="O13" s="164" t="s">
        <v>107</v>
      </c>
    </row>
    <row r="14" spans="7:15" ht="18" thickBot="1" x14ac:dyDescent="0.3">
      <c r="G14" s="165" t="s">
        <v>13</v>
      </c>
      <c r="H14" s="159" t="s">
        <v>98</v>
      </c>
      <c r="I14" s="159">
        <v>5</v>
      </c>
      <c r="J14" s="159">
        <v>2</v>
      </c>
      <c r="K14" s="159">
        <v>9054</v>
      </c>
      <c r="L14" s="159">
        <v>3</v>
      </c>
      <c r="M14" s="159">
        <v>2.33</v>
      </c>
      <c r="N14" s="159">
        <v>1.6010968E-2</v>
      </c>
      <c r="O14" s="166" t="s">
        <v>153</v>
      </c>
    </row>
    <row r="15" spans="7:15" ht="18" thickBot="1" x14ac:dyDescent="0.3">
      <c r="G15" s="163" t="s">
        <v>14</v>
      </c>
      <c r="H15" s="158" t="s">
        <v>98</v>
      </c>
      <c r="I15" s="158">
        <v>7</v>
      </c>
      <c r="J15" s="158">
        <v>2</v>
      </c>
      <c r="K15" s="158">
        <v>3</v>
      </c>
      <c r="L15" s="158">
        <v>4</v>
      </c>
      <c r="M15" s="158">
        <v>2.5</v>
      </c>
      <c r="N15" s="158">
        <v>6.6284919999999997E-3</v>
      </c>
      <c r="O15" s="164" t="s">
        <v>153</v>
      </c>
    </row>
    <row r="16" spans="7:15" ht="18" thickBot="1" x14ac:dyDescent="0.3">
      <c r="G16" s="165" t="s">
        <v>15</v>
      </c>
      <c r="H16" s="159" t="s">
        <v>98</v>
      </c>
      <c r="I16" s="159">
        <v>6</v>
      </c>
      <c r="J16" s="159">
        <v>3</v>
      </c>
      <c r="K16" s="159">
        <v>393</v>
      </c>
      <c r="L16" s="159">
        <v>4</v>
      </c>
      <c r="M16" s="159">
        <v>2.25</v>
      </c>
      <c r="N16" s="159">
        <v>1.2174229999999999E-2</v>
      </c>
      <c r="O16" s="166" t="s">
        <v>153</v>
      </c>
    </row>
    <row r="17" spans="7:15" ht="18" thickBot="1" x14ac:dyDescent="0.3">
      <c r="G17" s="163" t="s">
        <v>16</v>
      </c>
      <c r="H17" s="158" t="s">
        <v>98</v>
      </c>
      <c r="I17" s="158">
        <v>5</v>
      </c>
      <c r="J17" s="158">
        <v>3</v>
      </c>
      <c r="K17" s="158">
        <v>28</v>
      </c>
      <c r="L17" s="158">
        <v>3</v>
      </c>
      <c r="M17" s="158">
        <v>2.33</v>
      </c>
      <c r="N17" s="158">
        <v>1.4815076E-2</v>
      </c>
      <c r="O17" s="164" t="s">
        <v>153</v>
      </c>
    </row>
    <row r="18" spans="7:15" ht="18" thickBot="1" x14ac:dyDescent="0.3">
      <c r="G18" s="165" t="s">
        <v>17</v>
      </c>
      <c r="H18" s="159" t="s">
        <v>98</v>
      </c>
      <c r="I18" s="159">
        <v>5</v>
      </c>
      <c r="J18" s="159">
        <v>3</v>
      </c>
      <c r="K18" s="159">
        <v>1620</v>
      </c>
      <c r="L18" s="159">
        <v>3</v>
      </c>
      <c r="M18" s="159">
        <v>2</v>
      </c>
      <c r="N18" s="159">
        <v>1.2452045E-2</v>
      </c>
      <c r="O18" s="166" t="s">
        <v>104</v>
      </c>
    </row>
    <row r="19" spans="7:15" ht="18" thickBot="1" x14ac:dyDescent="0.3">
      <c r="G19" s="170" t="s">
        <v>136</v>
      </c>
      <c r="H19" s="171" t="s">
        <v>68</v>
      </c>
      <c r="I19" s="171">
        <f>AVERAGE(I5:I18)</f>
        <v>4.3571428571428568</v>
      </c>
      <c r="J19" s="171">
        <f t="shared" ref="J19:N19" si="0">AVERAGE(J5:J18)</f>
        <v>3.3571428571428572</v>
      </c>
      <c r="K19" s="171">
        <f t="shared" si="0"/>
        <v>907</v>
      </c>
      <c r="L19" s="171">
        <f t="shared" si="0"/>
        <v>2.6428571428571428</v>
      </c>
      <c r="M19" s="171">
        <f t="shared" si="0"/>
        <v>2.1853846153846153</v>
      </c>
      <c r="N19" s="171">
        <f t="shared" si="0"/>
        <v>5.7958701857142851E-2</v>
      </c>
      <c r="O19" s="172" t="s">
        <v>68</v>
      </c>
    </row>
    <row r="20" spans="7:15" ht="60" customHeight="1" thickBot="1" x14ac:dyDescent="0.3">
      <c r="G20" s="163" t="s">
        <v>23</v>
      </c>
      <c r="H20" s="158" t="s">
        <v>98</v>
      </c>
      <c r="I20" s="158">
        <v>8</v>
      </c>
      <c r="J20" s="158">
        <v>5</v>
      </c>
      <c r="K20" s="158">
        <v>1000</v>
      </c>
      <c r="L20" s="158">
        <v>4</v>
      </c>
      <c r="M20" s="158">
        <v>2.5</v>
      </c>
      <c r="N20" s="158">
        <v>1.0779222E-2</v>
      </c>
      <c r="O20" s="164" t="s">
        <v>154</v>
      </c>
    </row>
    <row r="21" spans="7:15" ht="35.25" thickBot="1" x14ac:dyDescent="0.3">
      <c r="G21" s="165" t="s">
        <v>24</v>
      </c>
      <c r="H21" s="159" t="s">
        <v>98</v>
      </c>
      <c r="I21" s="159">
        <v>8</v>
      </c>
      <c r="J21" s="159">
        <v>5</v>
      </c>
      <c r="K21" s="159">
        <v>4</v>
      </c>
      <c r="L21" s="159">
        <v>4</v>
      </c>
      <c r="M21" s="159">
        <v>2.25</v>
      </c>
      <c r="N21" s="159">
        <v>9.7246599999999996E-3</v>
      </c>
      <c r="O21" s="166" t="s">
        <v>155</v>
      </c>
    </row>
    <row r="22" spans="7:15" ht="35.25" thickBot="1" x14ac:dyDescent="0.3">
      <c r="G22" s="163" t="s">
        <v>25</v>
      </c>
      <c r="H22" s="158" t="s">
        <v>98</v>
      </c>
      <c r="I22" s="158">
        <v>8</v>
      </c>
      <c r="J22" s="158">
        <v>3</v>
      </c>
      <c r="K22" s="158">
        <v>9</v>
      </c>
      <c r="L22" s="158">
        <v>4</v>
      </c>
      <c r="M22" s="158">
        <v>2.25</v>
      </c>
      <c r="N22" s="158">
        <v>2.0214493E-2</v>
      </c>
      <c r="O22" s="164" t="s">
        <v>156</v>
      </c>
    </row>
    <row r="23" spans="7:15" ht="52.5" thickBot="1" x14ac:dyDescent="0.3">
      <c r="G23" s="165" t="s">
        <v>26</v>
      </c>
      <c r="H23" s="159" t="s">
        <v>96</v>
      </c>
      <c r="I23" s="159">
        <v>12</v>
      </c>
      <c r="J23" s="159">
        <v>8</v>
      </c>
      <c r="K23" s="159">
        <v>50</v>
      </c>
      <c r="L23" s="159">
        <v>2</v>
      </c>
      <c r="M23" s="159">
        <v>6</v>
      </c>
      <c r="N23" s="159">
        <v>1.2412695E-2</v>
      </c>
      <c r="O23" s="166" t="s">
        <v>157</v>
      </c>
    </row>
    <row r="24" spans="7:15" ht="18" thickBot="1" x14ac:dyDescent="0.3">
      <c r="G24" s="163" t="s">
        <v>27</v>
      </c>
      <c r="H24" s="158" t="s">
        <v>98</v>
      </c>
      <c r="I24" s="158">
        <v>8</v>
      </c>
      <c r="J24" s="158">
        <v>8</v>
      </c>
      <c r="K24" s="158">
        <v>500</v>
      </c>
      <c r="L24" s="158">
        <v>5</v>
      </c>
      <c r="M24" s="158">
        <v>2.4</v>
      </c>
      <c r="N24" s="158">
        <v>1.8655227999999999E-2</v>
      </c>
      <c r="O24" s="164" t="s">
        <v>158</v>
      </c>
    </row>
    <row r="25" spans="7:15" ht="18" thickBot="1" x14ac:dyDescent="0.3">
      <c r="G25" s="165" t="s">
        <v>28</v>
      </c>
      <c r="H25" s="159" t="s">
        <v>98</v>
      </c>
      <c r="I25" s="159">
        <v>9</v>
      </c>
      <c r="J25" s="159">
        <v>2</v>
      </c>
      <c r="K25" s="159">
        <v>148</v>
      </c>
      <c r="L25" s="159">
        <v>5</v>
      </c>
      <c r="M25" s="159">
        <v>2.8</v>
      </c>
      <c r="N25" s="159">
        <v>2.2971131999999998E-2</v>
      </c>
      <c r="O25" s="166" t="s">
        <v>105</v>
      </c>
    </row>
    <row r="26" spans="7:15" ht="35.25" thickBot="1" x14ac:dyDescent="0.3">
      <c r="G26" s="163" t="s">
        <v>29</v>
      </c>
      <c r="H26" s="158" t="s">
        <v>98</v>
      </c>
      <c r="I26" s="158">
        <v>9</v>
      </c>
      <c r="J26" s="158">
        <v>2</v>
      </c>
      <c r="K26" s="158">
        <v>112</v>
      </c>
      <c r="L26" s="158">
        <v>6</v>
      </c>
      <c r="M26" s="158">
        <v>2.33</v>
      </c>
      <c r="N26" s="158">
        <v>1.4815749E-2</v>
      </c>
      <c r="O26" s="164" t="s">
        <v>156</v>
      </c>
    </row>
    <row r="27" spans="7:15" ht="35.25" thickBot="1" x14ac:dyDescent="0.3">
      <c r="G27" s="165" t="s">
        <v>30</v>
      </c>
      <c r="H27" s="159" t="s">
        <v>98</v>
      </c>
      <c r="I27" s="159">
        <v>11</v>
      </c>
      <c r="J27" s="159">
        <v>3</v>
      </c>
      <c r="K27" s="159">
        <v>3067</v>
      </c>
      <c r="L27" s="159">
        <v>4</v>
      </c>
      <c r="M27" s="159">
        <v>3.25</v>
      </c>
      <c r="N27" s="159">
        <v>1.2449596E-2</v>
      </c>
      <c r="O27" s="166" t="s">
        <v>156</v>
      </c>
    </row>
    <row r="28" spans="7:15" ht="52.5" thickBot="1" x14ac:dyDescent="0.3">
      <c r="G28" s="163" t="s">
        <v>31</v>
      </c>
      <c r="H28" s="158" t="s">
        <v>98</v>
      </c>
      <c r="I28" s="158">
        <v>9</v>
      </c>
      <c r="J28" s="158">
        <v>3</v>
      </c>
      <c r="K28" s="158">
        <v>100</v>
      </c>
      <c r="L28" s="158">
        <v>4</v>
      </c>
      <c r="M28" s="158">
        <v>2.75</v>
      </c>
      <c r="N28" s="158">
        <v>1.107262E-2</v>
      </c>
      <c r="O28" s="164" t="s">
        <v>159</v>
      </c>
    </row>
    <row r="29" spans="7:15" ht="18" thickBot="1" x14ac:dyDescent="0.3">
      <c r="G29" s="165" t="s">
        <v>32</v>
      </c>
      <c r="H29" s="159" t="s">
        <v>98</v>
      </c>
      <c r="I29" s="159">
        <v>10</v>
      </c>
      <c r="J29" s="159">
        <v>3</v>
      </c>
      <c r="K29" s="159">
        <v>102</v>
      </c>
      <c r="L29" s="159">
        <v>5</v>
      </c>
      <c r="M29" s="159">
        <v>2.8</v>
      </c>
      <c r="N29" s="159">
        <v>2.7120479999999999E-3</v>
      </c>
      <c r="O29" s="166" t="s">
        <v>160</v>
      </c>
    </row>
    <row r="30" spans="7:15" ht="18" thickBot="1" x14ac:dyDescent="0.3">
      <c r="G30" s="170" t="s">
        <v>136</v>
      </c>
      <c r="H30" s="171"/>
      <c r="I30" s="171">
        <f>AVERAGE(I20:I29)</f>
        <v>9.1999999999999993</v>
      </c>
      <c r="J30" s="171">
        <f t="shared" ref="J30:N30" si="1">AVERAGE(J20:J29)</f>
        <v>4.2</v>
      </c>
      <c r="K30" s="171">
        <f t="shared" si="1"/>
        <v>509.2</v>
      </c>
      <c r="L30" s="171">
        <f t="shared" si="1"/>
        <v>4.3</v>
      </c>
      <c r="M30" s="171">
        <f t="shared" si="1"/>
        <v>2.9330000000000003</v>
      </c>
      <c r="N30" s="171">
        <f t="shared" si="1"/>
        <v>1.3580744299999999E-2</v>
      </c>
      <c r="O30" s="172" t="s">
        <v>68</v>
      </c>
    </row>
    <row r="31" spans="7:15" ht="18" thickBot="1" x14ac:dyDescent="0.3">
      <c r="G31" s="163" t="s">
        <v>137</v>
      </c>
      <c r="H31" s="158" t="s">
        <v>97</v>
      </c>
      <c r="I31" s="158">
        <v>6</v>
      </c>
      <c r="J31" s="158">
        <v>3</v>
      </c>
      <c r="K31" s="158">
        <v>227192</v>
      </c>
      <c r="L31" s="158">
        <v>4</v>
      </c>
      <c r="M31" s="158">
        <v>2</v>
      </c>
      <c r="N31" s="158">
        <v>0.19222037</v>
      </c>
      <c r="O31" s="164" t="s">
        <v>107</v>
      </c>
    </row>
    <row r="32" spans="7:15" ht="35.25" thickBot="1" x14ac:dyDescent="0.3">
      <c r="G32" s="165" t="s">
        <v>138</v>
      </c>
      <c r="H32" s="159" t="s">
        <v>98</v>
      </c>
      <c r="I32" s="159">
        <v>6</v>
      </c>
      <c r="J32" s="159">
        <v>3</v>
      </c>
      <c r="K32" s="159">
        <v>152899</v>
      </c>
      <c r="L32" s="159">
        <v>2</v>
      </c>
      <c r="M32" s="159">
        <v>3.5</v>
      </c>
      <c r="N32" s="159">
        <v>0.28678673900000001</v>
      </c>
      <c r="O32" s="166" t="s">
        <v>161</v>
      </c>
    </row>
    <row r="33" spans="7:15" ht="35.25" thickBot="1" x14ac:dyDescent="0.3">
      <c r="G33" s="163" t="s">
        <v>139</v>
      </c>
      <c r="H33" s="158" t="s">
        <v>98</v>
      </c>
      <c r="I33" s="158">
        <v>7</v>
      </c>
      <c r="J33" s="158">
        <v>3</v>
      </c>
      <c r="K33" s="158">
        <v>257158</v>
      </c>
      <c r="L33" s="158">
        <v>3</v>
      </c>
      <c r="M33" s="158">
        <v>3</v>
      </c>
      <c r="N33" s="158">
        <v>0.245822714</v>
      </c>
      <c r="O33" s="164" t="s">
        <v>162</v>
      </c>
    </row>
    <row r="34" spans="7:15" ht="52.5" thickBot="1" x14ac:dyDescent="0.3">
      <c r="G34" s="165" t="s">
        <v>140</v>
      </c>
      <c r="H34" s="159" t="s">
        <v>98</v>
      </c>
      <c r="I34" s="159">
        <v>8</v>
      </c>
      <c r="J34" s="159">
        <v>4</v>
      </c>
      <c r="K34" s="159">
        <v>397204</v>
      </c>
      <c r="L34" s="159">
        <v>4</v>
      </c>
      <c r="M34" s="159">
        <v>2.5</v>
      </c>
      <c r="N34" s="159">
        <v>0.30567551300000001</v>
      </c>
      <c r="O34" s="166" t="s">
        <v>163</v>
      </c>
    </row>
    <row r="35" spans="7:15" ht="18" thickBot="1" x14ac:dyDescent="0.3">
      <c r="G35" s="163" t="s">
        <v>141</v>
      </c>
      <c r="H35" s="158" t="s">
        <v>98</v>
      </c>
      <c r="I35" s="158">
        <v>11</v>
      </c>
      <c r="J35" s="158">
        <v>4</v>
      </c>
      <c r="K35" s="158">
        <v>190575</v>
      </c>
      <c r="L35" s="158">
        <v>5</v>
      </c>
      <c r="M35" s="158">
        <v>3</v>
      </c>
      <c r="N35" s="158">
        <v>0.48588229599999999</v>
      </c>
      <c r="O35" s="164" t="s">
        <v>109</v>
      </c>
    </row>
    <row r="36" spans="7:15" ht="35.25" thickBot="1" x14ac:dyDescent="0.3">
      <c r="G36" s="165" t="s">
        <v>142</v>
      </c>
      <c r="H36" s="159" t="s">
        <v>98</v>
      </c>
      <c r="I36" s="159">
        <v>10</v>
      </c>
      <c r="J36" s="159">
        <v>4</v>
      </c>
      <c r="K36" s="159">
        <v>282154</v>
      </c>
      <c r="L36" s="159">
        <v>5</v>
      </c>
      <c r="M36" s="159">
        <v>2.8</v>
      </c>
      <c r="N36" s="159">
        <v>0.34952897500000002</v>
      </c>
      <c r="O36" s="166" t="s">
        <v>164</v>
      </c>
    </row>
    <row r="37" spans="7:15" ht="35.25" thickBot="1" x14ac:dyDescent="0.3">
      <c r="G37" s="163" t="s">
        <v>143</v>
      </c>
      <c r="H37" s="158" t="s">
        <v>98</v>
      </c>
      <c r="I37" s="158">
        <v>5</v>
      </c>
      <c r="J37" s="158">
        <v>4</v>
      </c>
      <c r="K37" s="158">
        <v>80460</v>
      </c>
      <c r="L37" s="158">
        <v>3</v>
      </c>
      <c r="M37" s="158">
        <v>2.33</v>
      </c>
      <c r="N37" s="158">
        <v>0.20069629</v>
      </c>
      <c r="O37" s="164" t="s">
        <v>161</v>
      </c>
    </row>
    <row r="38" spans="7:15" ht="35.25" thickBot="1" x14ac:dyDescent="0.3">
      <c r="G38" s="167" t="s">
        <v>144</v>
      </c>
      <c r="H38" s="168" t="s">
        <v>98</v>
      </c>
      <c r="I38" s="168">
        <v>8</v>
      </c>
      <c r="J38" s="168">
        <v>3</v>
      </c>
      <c r="K38" s="168">
        <v>306705</v>
      </c>
      <c r="L38" s="168">
        <v>4</v>
      </c>
      <c r="M38" s="168">
        <v>2.5</v>
      </c>
      <c r="N38" s="168">
        <v>0.27809356299999999</v>
      </c>
      <c r="O38" s="169" t="s">
        <v>165</v>
      </c>
    </row>
    <row r="39" spans="7:15" ht="17.25" x14ac:dyDescent="0.25">
      <c r="G39" s="173" t="s">
        <v>136</v>
      </c>
      <c r="H39" s="174" t="s">
        <v>68</v>
      </c>
      <c r="I39" s="175">
        <f>AVERAGE(I31:I38)</f>
        <v>7.625</v>
      </c>
      <c r="J39" s="175">
        <f t="shared" ref="J39:N39" si="2">AVERAGE(J31:J38)</f>
        <v>3.5</v>
      </c>
      <c r="K39" s="175">
        <f t="shared" si="2"/>
        <v>236793.375</v>
      </c>
      <c r="L39" s="175">
        <f t="shared" si="2"/>
        <v>3.75</v>
      </c>
      <c r="M39" s="175">
        <f t="shared" si="2"/>
        <v>2.7037500000000003</v>
      </c>
      <c r="N39" s="175">
        <f t="shared" si="2"/>
        <v>0.29308830749999998</v>
      </c>
      <c r="O39" s="175" t="s">
        <v>68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S42"/>
  <sheetViews>
    <sheetView topLeftCell="C1" workbookViewId="0">
      <selection activeCell="E11" sqref="E11:I12"/>
    </sheetView>
  </sheetViews>
  <sheetFormatPr defaultRowHeight="15" x14ac:dyDescent="0.25"/>
  <cols>
    <col min="4" max="4" width="25" customWidth="1"/>
    <col min="5" max="5" width="20" customWidth="1"/>
    <col min="6" max="6" width="21.5703125" customWidth="1"/>
    <col min="7" max="7" width="19" customWidth="1"/>
    <col min="8" max="8" width="19.28515625" customWidth="1"/>
    <col min="9" max="9" width="20.7109375" customWidth="1"/>
    <col min="19" max="19" width="14.85546875" customWidth="1"/>
    <col min="20" max="20" width="27.28515625" customWidth="1"/>
  </cols>
  <sheetData>
    <row r="2" spans="4:19" x14ac:dyDescent="0.25">
      <c r="D2" s="21" t="s">
        <v>170</v>
      </c>
      <c r="E2" s="21"/>
      <c r="F2" s="21"/>
      <c r="G2" s="21"/>
      <c r="H2" s="21"/>
      <c r="I2" s="21"/>
      <c r="J2" s="21"/>
      <c r="K2" s="21"/>
      <c r="L2" s="21"/>
    </row>
    <row r="3" spans="4:19" ht="15.75" thickBot="1" x14ac:dyDescent="0.3"/>
    <row r="4" spans="4:19" ht="15.75" thickBot="1" x14ac:dyDescent="0.3">
      <c r="D4" s="137"/>
      <c r="E4" s="138" t="s">
        <v>166</v>
      </c>
      <c r="F4" s="138" t="s">
        <v>3</v>
      </c>
      <c r="G4" s="138" t="s">
        <v>20</v>
      </c>
      <c r="H4" s="138" t="s">
        <v>21</v>
      </c>
      <c r="I4" s="139" t="s">
        <v>22</v>
      </c>
      <c r="K4" s="176"/>
      <c r="L4" s="177"/>
      <c r="M4" s="177"/>
      <c r="N4" s="177"/>
      <c r="O4" s="177"/>
      <c r="P4" s="177"/>
      <c r="Q4" s="177"/>
      <c r="R4" s="177"/>
      <c r="S4" s="178"/>
    </row>
    <row r="5" spans="4:19" ht="18" thickBot="1" x14ac:dyDescent="0.3">
      <c r="D5" s="9" t="s">
        <v>53</v>
      </c>
      <c r="E5" s="182" t="s">
        <v>168</v>
      </c>
      <c r="F5" s="182" t="s">
        <v>173</v>
      </c>
      <c r="G5" s="182" t="s">
        <v>177</v>
      </c>
      <c r="H5" s="179" t="s">
        <v>178</v>
      </c>
      <c r="I5" s="179" t="s">
        <v>182</v>
      </c>
      <c r="K5" s="163"/>
      <c r="L5" s="158"/>
      <c r="M5" s="158"/>
      <c r="N5" s="158"/>
      <c r="O5" s="158"/>
      <c r="P5" s="158"/>
      <c r="Q5" s="158"/>
      <c r="R5" s="158"/>
      <c r="S5" s="164"/>
    </row>
    <row r="6" spans="4:19" ht="18" thickBot="1" x14ac:dyDescent="0.3">
      <c r="D6" s="9" t="s">
        <v>150</v>
      </c>
      <c r="E6" s="179">
        <v>0.23326086956521741</v>
      </c>
      <c r="F6" s="179">
        <v>0.23221343873517786</v>
      </c>
      <c r="G6" s="179">
        <v>0.24456521739130432</v>
      </c>
      <c r="H6" s="179">
        <v>1.9268774703557368E-2</v>
      </c>
      <c r="I6" s="179" t="s">
        <v>183</v>
      </c>
      <c r="K6" s="165"/>
      <c r="L6" s="159"/>
      <c r="M6" s="159"/>
      <c r="N6" s="159"/>
      <c r="O6" s="159"/>
      <c r="P6" s="159"/>
      <c r="Q6" s="159"/>
      <c r="R6" s="159"/>
      <c r="S6" s="166"/>
    </row>
    <row r="7" spans="4:19" ht="20.25" customHeight="1" thickBot="1" x14ac:dyDescent="0.3">
      <c r="D7" s="9" t="s">
        <v>95</v>
      </c>
      <c r="E7" s="179" t="s">
        <v>171</v>
      </c>
      <c r="F7" s="179" t="s">
        <v>174</v>
      </c>
      <c r="G7" s="179">
        <v>8.4782608695652129E-2</v>
      </c>
      <c r="H7" s="179" t="s">
        <v>179</v>
      </c>
      <c r="I7" s="179" t="s">
        <v>184</v>
      </c>
      <c r="K7" s="163"/>
      <c r="L7" s="158"/>
      <c r="M7" s="158"/>
      <c r="N7" s="158"/>
      <c r="O7" s="158"/>
      <c r="P7" s="158"/>
      <c r="Q7" s="158"/>
      <c r="R7" s="158"/>
      <c r="S7" s="164"/>
    </row>
    <row r="8" spans="4:19" ht="18" thickBot="1" x14ac:dyDescent="0.3">
      <c r="D8" s="9" t="s">
        <v>89</v>
      </c>
      <c r="E8" s="179" t="s">
        <v>169</v>
      </c>
      <c r="F8" s="179" t="s">
        <v>175</v>
      </c>
      <c r="G8" s="179">
        <v>0.21434782608695657</v>
      </c>
      <c r="H8" s="179" t="s">
        <v>180</v>
      </c>
      <c r="I8" s="179" t="s">
        <v>185</v>
      </c>
      <c r="K8" s="165"/>
      <c r="L8" s="159"/>
      <c r="M8" s="159"/>
      <c r="N8" s="159"/>
      <c r="O8" s="159"/>
      <c r="P8" s="159"/>
      <c r="Q8" s="159"/>
      <c r="R8" s="159"/>
      <c r="S8" s="166"/>
    </row>
    <row r="9" spans="4:19" ht="18" thickBot="1" x14ac:dyDescent="0.3">
      <c r="D9" s="9" t="s">
        <v>86</v>
      </c>
      <c r="E9" s="179" t="s">
        <v>172</v>
      </c>
      <c r="F9" s="179">
        <v>0.21005081874647091</v>
      </c>
      <c r="G9" s="179">
        <v>0.22554347826086951</v>
      </c>
      <c r="H9" s="179" t="s">
        <v>181</v>
      </c>
      <c r="I9" s="179">
        <v>0.1829474872953134</v>
      </c>
      <c r="K9" s="163"/>
      <c r="L9" s="158"/>
      <c r="M9" s="158"/>
      <c r="N9" s="158"/>
      <c r="O9" s="158"/>
      <c r="P9" s="158"/>
      <c r="Q9" s="158"/>
      <c r="R9" s="158"/>
      <c r="S9" s="164"/>
    </row>
    <row r="10" spans="4:19" ht="18" thickBot="1" x14ac:dyDescent="0.3">
      <c r="D10" s="9" t="s">
        <v>167</v>
      </c>
      <c r="E10" s="179">
        <v>0.26108695652173908</v>
      </c>
      <c r="F10" s="179" t="s">
        <v>176</v>
      </c>
      <c r="G10" s="179">
        <v>0.19804347826086954</v>
      </c>
      <c r="H10" s="179">
        <v>0.23715415019762842</v>
      </c>
      <c r="I10" s="179">
        <v>0.26284584980237158</v>
      </c>
      <c r="K10" s="165"/>
      <c r="L10" s="159"/>
      <c r="M10" s="159"/>
      <c r="N10" s="159"/>
      <c r="O10" s="159"/>
      <c r="P10" s="159"/>
      <c r="Q10" s="159"/>
      <c r="R10" s="159"/>
      <c r="S10" s="166"/>
    </row>
    <row r="11" spans="4:19" ht="18" thickBot="1" x14ac:dyDescent="0.3">
      <c r="D11" s="180" t="s">
        <v>281</v>
      </c>
      <c r="E11" s="91">
        <v>-6.4935064935064846E-2</v>
      </c>
      <c r="F11" s="179">
        <v>-2.1739130434782705E-2</v>
      </c>
      <c r="G11" s="179">
        <v>-0.19028797289666866</v>
      </c>
      <c r="H11" s="179">
        <v>-1.4116318464144628E-2</v>
      </c>
      <c r="I11" s="179">
        <v>-4.1739130434782501E-2</v>
      </c>
      <c r="K11" s="163"/>
      <c r="L11" s="158"/>
      <c r="M11" s="158"/>
      <c r="N11" s="158"/>
      <c r="O11" s="158"/>
      <c r="P11" s="158"/>
      <c r="Q11" s="158"/>
      <c r="R11" s="158"/>
      <c r="S11" s="164"/>
    </row>
    <row r="12" spans="4:19" ht="18" thickBot="1" x14ac:dyDescent="0.3">
      <c r="D12" s="9" t="s">
        <v>282</v>
      </c>
      <c r="E12" s="212" t="s">
        <v>283</v>
      </c>
      <c r="F12" s="213" t="s">
        <v>284</v>
      </c>
      <c r="G12" s="179">
        <v>-0.22374364765669119</v>
      </c>
      <c r="H12" s="214" t="s">
        <v>285</v>
      </c>
      <c r="I12" s="214" t="s">
        <v>286</v>
      </c>
      <c r="K12" s="165"/>
      <c r="L12" s="159"/>
      <c r="M12" s="159"/>
      <c r="N12" s="159"/>
      <c r="O12" s="159"/>
      <c r="P12" s="159"/>
      <c r="Q12" s="159"/>
      <c r="R12" s="159"/>
      <c r="S12" s="166"/>
    </row>
    <row r="13" spans="4:19" ht="18" thickBot="1" x14ac:dyDescent="0.3">
      <c r="D13" s="9"/>
      <c r="E13" s="211"/>
      <c r="F13" s="91"/>
      <c r="G13" s="91"/>
      <c r="H13" s="91"/>
      <c r="I13" s="95"/>
      <c r="K13" s="163"/>
      <c r="L13" s="158"/>
      <c r="M13" s="158"/>
      <c r="N13" s="158"/>
      <c r="O13" s="158"/>
      <c r="P13" s="158"/>
      <c r="Q13" s="158"/>
      <c r="R13" s="158"/>
      <c r="S13" s="164"/>
    </row>
    <row r="14" spans="4:19" ht="20.25" customHeight="1" thickBot="1" x14ac:dyDescent="0.3">
      <c r="D14" s="9"/>
      <c r="E14" s="179"/>
      <c r="F14" s="91"/>
      <c r="G14" s="91"/>
      <c r="H14" s="91"/>
      <c r="I14" s="95"/>
      <c r="K14" s="165"/>
      <c r="L14" s="159"/>
      <c r="M14" s="159"/>
      <c r="N14" s="159"/>
      <c r="O14" s="159"/>
      <c r="P14" s="159"/>
      <c r="Q14" s="159"/>
      <c r="R14" s="159"/>
      <c r="S14" s="166"/>
    </row>
    <row r="15" spans="4:19" ht="19.5" customHeight="1" thickBot="1" x14ac:dyDescent="0.3">
      <c r="D15" s="9"/>
      <c r="E15" s="179"/>
      <c r="F15" s="91"/>
      <c r="G15" s="91"/>
      <c r="H15" s="91"/>
      <c r="I15" s="95"/>
      <c r="K15" s="163"/>
      <c r="L15" s="158"/>
      <c r="M15" s="158"/>
      <c r="N15" s="158"/>
      <c r="O15" s="158"/>
      <c r="P15" s="158"/>
      <c r="Q15" s="158"/>
      <c r="R15" s="158"/>
      <c r="S15" s="164"/>
    </row>
    <row r="16" spans="4:19" ht="15.75" customHeight="1" thickBot="1" x14ac:dyDescent="0.3">
      <c r="D16" s="9"/>
      <c r="E16" s="179"/>
      <c r="F16" s="91"/>
      <c r="G16" s="91"/>
      <c r="H16" s="91"/>
      <c r="I16" s="95"/>
      <c r="K16" s="165"/>
      <c r="L16" s="159"/>
      <c r="M16" s="159"/>
      <c r="N16" s="159"/>
      <c r="O16" s="159"/>
      <c r="P16" s="159"/>
      <c r="Q16" s="159"/>
      <c r="R16" s="159"/>
      <c r="S16" s="166"/>
    </row>
    <row r="17" spans="4:19" ht="16.5" customHeight="1" thickBot="1" x14ac:dyDescent="0.3">
      <c r="D17" s="109"/>
      <c r="E17" s="181"/>
      <c r="F17" s="96"/>
      <c r="G17" s="96"/>
      <c r="H17" s="96"/>
      <c r="I17" s="111"/>
      <c r="K17" s="163"/>
      <c r="L17" s="158"/>
      <c r="M17" s="158"/>
      <c r="N17" s="158"/>
      <c r="O17" s="158"/>
      <c r="P17" s="158"/>
      <c r="Q17" s="158"/>
      <c r="R17" s="158"/>
      <c r="S17" s="164"/>
    </row>
    <row r="18" spans="4:19" ht="18" thickBot="1" x14ac:dyDescent="0.3">
      <c r="K18" s="165"/>
      <c r="L18" s="159"/>
      <c r="M18" s="159"/>
      <c r="N18" s="159"/>
      <c r="O18" s="159"/>
      <c r="P18" s="159"/>
      <c r="Q18" s="159"/>
      <c r="R18" s="159"/>
      <c r="S18" s="166"/>
    </row>
    <row r="19" spans="4:19" ht="33" customHeight="1" thickBot="1" x14ac:dyDescent="0.3">
      <c r="K19" s="160" t="s">
        <v>1</v>
      </c>
      <c r="L19" s="161" t="s">
        <v>148</v>
      </c>
      <c r="M19" s="161" t="s">
        <v>149</v>
      </c>
      <c r="N19" s="161" t="s">
        <v>150</v>
      </c>
      <c r="O19" s="161" t="s">
        <v>95</v>
      </c>
      <c r="P19" s="161" t="s">
        <v>89</v>
      </c>
      <c r="Q19" s="161" t="s">
        <v>86</v>
      </c>
      <c r="R19" s="161" t="s">
        <v>151</v>
      </c>
      <c r="S19" s="162" t="s">
        <v>152</v>
      </c>
    </row>
    <row r="20" spans="4:19" ht="18" thickBot="1" x14ac:dyDescent="0.3">
      <c r="K20" s="163" t="s">
        <v>4</v>
      </c>
      <c r="L20" s="158" t="s">
        <v>96</v>
      </c>
      <c r="M20" s="158">
        <v>3</v>
      </c>
      <c r="N20" s="158">
        <v>2</v>
      </c>
      <c r="O20" s="158">
        <v>90</v>
      </c>
      <c r="P20" s="158">
        <v>1</v>
      </c>
      <c r="Q20" s="158">
        <v>2</v>
      </c>
      <c r="R20" s="158">
        <v>0.333334927</v>
      </c>
      <c r="S20" s="164" t="s">
        <v>107</v>
      </c>
    </row>
    <row r="21" spans="4:19" ht="18" thickBot="1" x14ac:dyDescent="0.3">
      <c r="K21" s="165" t="s">
        <v>5</v>
      </c>
      <c r="L21" s="159" t="s">
        <v>96</v>
      </c>
      <c r="M21" s="159">
        <v>3</v>
      </c>
      <c r="N21" s="159">
        <v>2</v>
      </c>
      <c r="O21" s="159">
        <v>1</v>
      </c>
      <c r="P21" s="159">
        <v>2</v>
      </c>
      <c r="Q21" s="159">
        <v>2</v>
      </c>
      <c r="R21" s="159">
        <v>7.3916590000000001E-3</v>
      </c>
      <c r="S21" s="166" t="s">
        <v>153</v>
      </c>
    </row>
    <row r="22" spans="4:19" ht="35.25" thickBot="1" x14ac:dyDescent="0.3">
      <c r="K22" s="163" t="s">
        <v>6</v>
      </c>
      <c r="L22" s="158" t="s">
        <v>98</v>
      </c>
      <c r="M22" s="158">
        <v>5</v>
      </c>
      <c r="N22" s="158">
        <v>5</v>
      </c>
      <c r="O22" s="158">
        <v>2</v>
      </c>
      <c r="P22" s="158">
        <v>2</v>
      </c>
      <c r="Q22" s="158">
        <v>3</v>
      </c>
      <c r="R22" s="158">
        <v>8.8895710000000006E-3</v>
      </c>
      <c r="S22" s="164" t="s">
        <v>153</v>
      </c>
    </row>
    <row r="23" spans="4:19" ht="18" thickBot="1" x14ac:dyDescent="0.3">
      <c r="K23" s="165" t="s">
        <v>7</v>
      </c>
      <c r="L23" s="159" t="s">
        <v>97</v>
      </c>
      <c r="M23" s="159">
        <v>5</v>
      </c>
      <c r="N23" s="159">
        <v>5</v>
      </c>
      <c r="O23" s="159">
        <v>1</v>
      </c>
      <c r="P23" s="159">
        <v>5</v>
      </c>
      <c r="Q23" s="159">
        <v>2</v>
      </c>
      <c r="R23" s="159">
        <v>1.9295158E-2</v>
      </c>
      <c r="S23" s="166" t="s">
        <v>153</v>
      </c>
    </row>
    <row r="24" spans="4:19" ht="18" thickBot="1" x14ac:dyDescent="0.3">
      <c r="K24" s="163" t="s">
        <v>8</v>
      </c>
      <c r="L24" s="158" t="s">
        <v>97</v>
      </c>
      <c r="M24" s="158">
        <v>4</v>
      </c>
      <c r="N24" s="158">
        <v>5</v>
      </c>
      <c r="O24" s="158">
        <v>2</v>
      </c>
      <c r="P24" s="158">
        <v>3</v>
      </c>
      <c r="Q24" s="158">
        <v>2</v>
      </c>
      <c r="R24" s="158">
        <v>6.1693759999999999E-3</v>
      </c>
      <c r="S24" s="164" t="s">
        <v>153</v>
      </c>
    </row>
    <row r="25" spans="4:19" ht="18" thickBot="1" x14ac:dyDescent="0.3">
      <c r="K25" s="165" t="s">
        <v>9</v>
      </c>
      <c r="L25" s="159" t="s">
        <v>97</v>
      </c>
      <c r="M25" s="159">
        <v>4</v>
      </c>
      <c r="N25" s="159">
        <v>4</v>
      </c>
      <c r="O25" s="159">
        <v>11</v>
      </c>
      <c r="P25" s="159">
        <v>3</v>
      </c>
      <c r="Q25" s="159">
        <v>2</v>
      </c>
      <c r="R25" s="159">
        <v>1.9395936999999999E-2</v>
      </c>
      <c r="S25" s="166" t="s">
        <v>153</v>
      </c>
    </row>
    <row r="26" spans="4:19" ht="18" thickBot="1" x14ac:dyDescent="0.3">
      <c r="K26" s="163" t="s">
        <v>10</v>
      </c>
      <c r="L26" s="158" t="s">
        <v>97</v>
      </c>
      <c r="M26" s="158">
        <v>4</v>
      </c>
      <c r="N26" s="158">
        <v>5</v>
      </c>
      <c r="O26" s="158">
        <v>1</v>
      </c>
      <c r="P26" s="158">
        <v>3</v>
      </c>
      <c r="Q26" s="158">
        <v>2</v>
      </c>
      <c r="R26" s="158">
        <v>2.0198747E-2</v>
      </c>
      <c r="S26" s="164" t="s">
        <v>153</v>
      </c>
    </row>
    <row r="27" spans="4:19" ht="18" thickBot="1" x14ac:dyDescent="0.3">
      <c r="K27" s="165" t="s">
        <v>11</v>
      </c>
      <c r="L27" s="159" t="s">
        <v>68</v>
      </c>
      <c r="M27" s="159">
        <v>2</v>
      </c>
      <c r="N27" s="159">
        <v>2</v>
      </c>
      <c r="O27" s="159">
        <v>1159</v>
      </c>
      <c r="P27" s="159">
        <v>0</v>
      </c>
      <c r="Q27" s="159" t="s">
        <v>67</v>
      </c>
      <c r="R27" s="159">
        <v>1.1208399999999999E-3</v>
      </c>
      <c r="S27" s="166" t="s">
        <v>107</v>
      </c>
    </row>
    <row r="28" spans="4:19" ht="18" thickBot="1" x14ac:dyDescent="0.3">
      <c r="K28" s="163" t="s">
        <v>12</v>
      </c>
      <c r="L28" s="158" t="s">
        <v>97</v>
      </c>
      <c r="M28" s="158">
        <v>3</v>
      </c>
      <c r="N28" s="158">
        <v>4</v>
      </c>
      <c r="O28" s="158">
        <v>333</v>
      </c>
      <c r="P28" s="158">
        <v>1</v>
      </c>
      <c r="Q28" s="158">
        <v>2</v>
      </c>
      <c r="R28" s="158">
        <v>0.33354479999999997</v>
      </c>
      <c r="S28" s="164" t="s">
        <v>107</v>
      </c>
    </row>
    <row r="29" spans="4:19" ht="35.25" thickBot="1" x14ac:dyDescent="0.3">
      <c r="K29" s="165" t="s">
        <v>13</v>
      </c>
      <c r="L29" s="159" t="s">
        <v>98</v>
      </c>
      <c r="M29" s="159">
        <v>5</v>
      </c>
      <c r="N29" s="159">
        <v>2</v>
      </c>
      <c r="O29" s="159">
        <v>9054</v>
      </c>
      <c r="P29" s="159">
        <v>3</v>
      </c>
      <c r="Q29" s="159">
        <v>2.33</v>
      </c>
      <c r="R29" s="159">
        <v>1.6010968E-2</v>
      </c>
      <c r="S29" s="166" t="s">
        <v>153</v>
      </c>
    </row>
    <row r="30" spans="4:19" ht="35.25" thickBot="1" x14ac:dyDescent="0.3">
      <c r="K30" s="163" t="s">
        <v>14</v>
      </c>
      <c r="L30" s="158" t="s">
        <v>98</v>
      </c>
      <c r="M30" s="158">
        <v>7</v>
      </c>
      <c r="N30" s="158">
        <v>2</v>
      </c>
      <c r="O30" s="158">
        <v>3</v>
      </c>
      <c r="P30" s="158">
        <v>4</v>
      </c>
      <c r="Q30" s="158">
        <v>2.5</v>
      </c>
      <c r="R30" s="158">
        <v>6.6284919999999997E-3</v>
      </c>
      <c r="S30" s="164" t="s">
        <v>153</v>
      </c>
    </row>
    <row r="31" spans="4:19" ht="35.25" thickBot="1" x14ac:dyDescent="0.3">
      <c r="K31" s="165" t="s">
        <v>15</v>
      </c>
      <c r="L31" s="159" t="s">
        <v>98</v>
      </c>
      <c r="M31" s="159">
        <v>6</v>
      </c>
      <c r="N31" s="159">
        <v>3</v>
      </c>
      <c r="O31" s="159">
        <v>393</v>
      </c>
      <c r="P31" s="159">
        <v>4</v>
      </c>
      <c r="Q31" s="159">
        <v>2.25</v>
      </c>
      <c r="R31" s="159">
        <v>1.2174229999999999E-2</v>
      </c>
      <c r="S31" s="166" t="s">
        <v>153</v>
      </c>
    </row>
    <row r="32" spans="4:19" ht="35.25" thickBot="1" x14ac:dyDescent="0.3">
      <c r="K32" s="163" t="s">
        <v>16</v>
      </c>
      <c r="L32" s="158" t="s">
        <v>98</v>
      </c>
      <c r="M32" s="158">
        <v>5</v>
      </c>
      <c r="N32" s="158">
        <v>3</v>
      </c>
      <c r="O32" s="158">
        <v>28</v>
      </c>
      <c r="P32" s="158">
        <v>3</v>
      </c>
      <c r="Q32" s="158">
        <v>2.33</v>
      </c>
      <c r="R32" s="158">
        <v>1.4815076E-2</v>
      </c>
      <c r="S32" s="164" t="s">
        <v>153</v>
      </c>
    </row>
    <row r="33" spans="11:19" ht="35.25" thickBot="1" x14ac:dyDescent="0.3">
      <c r="K33" s="165" t="s">
        <v>17</v>
      </c>
      <c r="L33" s="159" t="s">
        <v>98</v>
      </c>
      <c r="M33" s="159">
        <v>5</v>
      </c>
      <c r="N33" s="159">
        <v>3</v>
      </c>
      <c r="O33" s="159">
        <v>1620</v>
      </c>
      <c r="P33" s="159">
        <v>3</v>
      </c>
      <c r="Q33" s="159">
        <v>2</v>
      </c>
      <c r="R33" s="159">
        <v>1.2452045E-2</v>
      </c>
      <c r="S33" s="166" t="s">
        <v>104</v>
      </c>
    </row>
    <row r="34" spans="11:19" ht="69.75" thickBot="1" x14ac:dyDescent="0.3">
      <c r="K34" s="163" t="s">
        <v>23</v>
      </c>
      <c r="L34" s="158" t="s">
        <v>98</v>
      </c>
      <c r="M34" s="158">
        <v>8</v>
      </c>
      <c r="N34" s="158">
        <v>5</v>
      </c>
      <c r="O34" s="158">
        <v>1000</v>
      </c>
      <c r="P34" s="158">
        <v>4</v>
      </c>
      <c r="Q34" s="158">
        <v>2.5</v>
      </c>
      <c r="R34" s="158">
        <v>1.0779222E-2</v>
      </c>
      <c r="S34" s="164" t="s">
        <v>154</v>
      </c>
    </row>
    <row r="35" spans="11:19" ht="35.25" thickBot="1" x14ac:dyDescent="0.3">
      <c r="K35" s="165" t="s">
        <v>24</v>
      </c>
      <c r="L35" s="159" t="s">
        <v>98</v>
      </c>
      <c r="M35" s="159">
        <v>8</v>
      </c>
      <c r="N35" s="159">
        <v>5</v>
      </c>
      <c r="O35" s="159">
        <v>4</v>
      </c>
      <c r="P35" s="159">
        <v>4</v>
      </c>
      <c r="Q35" s="159">
        <v>2.25</v>
      </c>
      <c r="R35" s="159">
        <v>9.7246599999999996E-3</v>
      </c>
      <c r="S35" s="166" t="s">
        <v>155</v>
      </c>
    </row>
    <row r="36" spans="11:19" ht="35.25" thickBot="1" x14ac:dyDescent="0.3">
      <c r="K36" s="163" t="s">
        <v>25</v>
      </c>
      <c r="L36" s="158" t="s">
        <v>98</v>
      </c>
      <c r="M36" s="158">
        <v>8</v>
      </c>
      <c r="N36" s="158">
        <v>3</v>
      </c>
      <c r="O36" s="158">
        <v>9</v>
      </c>
      <c r="P36" s="158">
        <v>4</v>
      </c>
      <c r="Q36" s="158">
        <v>2.25</v>
      </c>
      <c r="R36" s="158">
        <v>2.0214493E-2</v>
      </c>
      <c r="S36" s="164" t="s">
        <v>156</v>
      </c>
    </row>
    <row r="37" spans="11:19" ht="35.25" thickBot="1" x14ac:dyDescent="0.3">
      <c r="K37" s="163" t="s">
        <v>27</v>
      </c>
      <c r="L37" s="158" t="s">
        <v>98</v>
      </c>
      <c r="M37" s="158">
        <v>8</v>
      </c>
      <c r="N37" s="158">
        <v>8</v>
      </c>
      <c r="O37" s="158">
        <v>500</v>
      </c>
      <c r="P37" s="158">
        <v>5</v>
      </c>
      <c r="Q37" s="158">
        <v>2.4</v>
      </c>
      <c r="R37" s="158">
        <v>1.8655227999999999E-2</v>
      </c>
      <c r="S37" s="164" t="s">
        <v>158</v>
      </c>
    </row>
    <row r="38" spans="11:19" ht="35.25" thickBot="1" x14ac:dyDescent="0.3">
      <c r="K38" s="165" t="s">
        <v>28</v>
      </c>
      <c r="L38" s="159" t="s">
        <v>98</v>
      </c>
      <c r="M38" s="159">
        <v>9</v>
      </c>
      <c r="N38" s="159">
        <v>2</v>
      </c>
      <c r="O38" s="159">
        <v>148</v>
      </c>
      <c r="P38" s="159">
        <v>5</v>
      </c>
      <c r="Q38" s="159">
        <v>2.8</v>
      </c>
      <c r="R38" s="159">
        <v>2.2971131999999998E-2</v>
      </c>
      <c r="S38" s="166" t="s">
        <v>105</v>
      </c>
    </row>
    <row r="39" spans="11:19" ht="35.25" thickBot="1" x14ac:dyDescent="0.3">
      <c r="K39" s="163" t="s">
        <v>29</v>
      </c>
      <c r="L39" s="158" t="s">
        <v>98</v>
      </c>
      <c r="M39" s="158">
        <v>9</v>
      </c>
      <c r="N39" s="158">
        <v>2</v>
      </c>
      <c r="O39" s="158">
        <v>112</v>
      </c>
      <c r="P39" s="158">
        <v>6</v>
      </c>
      <c r="Q39" s="158">
        <v>2.33</v>
      </c>
      <c r="R39" s="158">
        <v>1.4815749E-2</v>
      </c>
      <c r="S39" s="164" t="s">
        <v>156</v>
      </c>
    </row>
    <row r="40" spans="11:19" ht="35.25" thickBot="1" x14ac:dyDescent="0.3">
      <c r="K40" s="165" t="s">
        <v>30</v>
      </c>
      <c r="L40" s="159" t="s">
        <v>98</v>
      </c>
      <c r="M40" s="159">
        <v>11</v>
      </c>
      <c r="N40" s="159">
        <v>3</v>
      </c>
      <c r="O40" s="159">
        <v>3067</v>
      </c>
      <c r="P40" s="159">
        <v>4</v>
      </c>
      <c r="Q40" s="159">
        <v>3.25</v>
      </c>
      <c r="R40" s="159">
        <v>1.2449596E-2</v>
      </c>
      <c r="S40" s="166" t="s">
        <v>156</v>
      </c>
    </row>
    <row r="41" spans="11:19" ht="35.25" thickBot="1" x14ac:dyDescent="0.3">
      <c r="K41" s="165" t="s">
        <v>32</v>
      </c>
      <c r="L41" s="159" t="s">
        <v>98</v>
      </c>
      <c r="M41" s="159">
        <v>10</v>
      </c>
      <c r="N41" s="159">
        <v>3</v>
      </c>
      <c r="O41" s="159">
        <v>102</v>
      </c>
      <c r="P41" s="159">
        <v>5</v>
      </c>
      <c r="Q41" s="159">
        <v>2.8</v>
      </c>
      <c r="R41" s="159">
        <v>2.7120479999999999E-3</v>
      </c>
      <c r="S41" s="166" t="s">
        <v>160</v>
      </c>
    </row>
    <row r="42" spans="11:19" ht="35.25" thickBot="1" x14ac:dyDescent="0.3">
      <c r="K42" s="163" t="s">
        <v>143</v>
      </c>
      <c r="L42" s="158" t="s">
        <v>98</v>
      </c>
      <c r="M42" s="158">
        <v>5</v>
      </c>
      <c r="N42" s="158">
        <v>4</v>
      </c>
      <c r="O42" s="158">
        <v>80460</v>
      </c>
      <c r="P42" s="158">
        <v>3</v>
      </c>
      <c r="Q42" s="158">
        <v>2.33</v>
      </c>
      <c r="R42" s="158">
        <v>0.20069629</v>
      </c>
      <c r="S42" s="164" t="s">
        <v>161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89"/>
  <sheetViews>
    <sheetView topLeftCell="A65" zoomScale="90" zoomScaleNormal="90" workbookViewId="0">
      <selection activeCell="J63" sqref="J63"/>
    </sheetView>
  </sheetViews>
  <sheetFormatPr defaultRowHeight="15" x14ac:dyDescent="0.25"/>
  <cols>
    <col min="2" max="2" width="9" customWidth="1"/>
    <col min="3" max="3" width="17" customWidth="1"/>
    <col min="4" max="4" width="16.42578125" customWidth="1"/>
    <col min="5" max="5" width="15.5703125" customWidth="1"/>
    <col min="6" max="6" width="16.42578125" customWidth="1"/>
    <col min="7" max="7" width="20.140625" customWidth="1"/>
    <col min="8" max="8" width="24.42578125" customWidth="1"/>
  </cols>
  <sheetData>
    <row r="2" spans="2:12" ht="15.75" thickBot="1" x14ac:dyDescent="0.3"/>
    <row r="3" spans="2:12" x14ac:dyDescent="0.25">
      <c r="B3" s="4" t="s">
        <v>1</v>
      </c>
      <c r="C3" s="5" t="s">
        <v>0</v>
      </c>
      <c r="D3" s="6" t="s">
        <v>3</v>
      </c>
      <c r="E3" s="7" t="s">
        <v>20</v>
      </c>
      <c r="F3" s="5" t="s">
        <v>21</v>
      </c>
      <c r="G3" s="8" t="s">
        <v>22</v>
      </c>
    </row>
    <row r="4" spans="2:12" x14ac:dyDescent="0.25">
      <c r="B4" s="9" t="s">
        <v>4</v>
      </c>
      <c r="C4" s="10">
        <v>15</v>
      </c>
      <c r="D4" s="10">
        <v>46</v>
      </c>
      <c r="E4" s="15">
        <v>25</v>
      </c>
      <c r="F4" s="10">
        <v>4</v>
      </c>
      <c r="G4" s="14">
        <v>4</v>
      </c>
      <c r="I4" s="112">
        <f>C4-F4</f>
        <v>11</v>
      </c>
    </row>
    <row r="5" spans="2:12" x14ac:dyDescent="0.25">
      <c r="B5" s="9" t="s">
        <v>5</v>
      </c>
      <c r="C5" s="10">
        <v>2</v>
      </c>
      <c r="D5" s="10">
        <v>12</v>
      </c>
      <c r="E5" s="15">
        <v>3</v>
      </c>
      <c r="F5" s="10">
        <v>2</v>
      </c>
      <c r="G5" s="14">
        <v>2</v>
      </c>
    </row>
    <row r="6" spans="2:12" x14ac:dyDescent="0.25">
      <c r="B6" s="9" t="s">
        <v>6</v>
      </c>
      <c r="C6" s="10">
        <v>34</v>
      </c>
      <c r="D6" s="10">
        <v>23</v>
      </c>
      <c r="E6" s="15">
        <v>4</v>
      </c>
      <c r="F6" s="10">
        <v>10</v>
      </c>
      <c r="G6" s="14">
        <v>11</v>
      </c>
    </row>
    <row r="7" spans="2:12" x14ac:dyDescent="0.25">
      <c r="B7" s="9" t="s">
        <v>7</v>
      </c>
      <c r="C7" s="11">
        <v>59</v>
      </c>
      <c r="D7" s="10">
        <v>15</v>
      </c>
      <c r="E7" s="15">
        <v>5</v>
      </c>
      <c r="F7" s="10">
        <v>3</v>
      </c>
      <c r="G7" s="14">
        <v>3</v>
      </c>
    </row>
    <row r="8" spans="2:12" x14ac:dyDescent="0.25">
      <c r="B8" s="9" t="s">
        <v>8</v>
      </c>
      <c r="C8" s="11">
        <v>27</v>
      </c>
      <c r="D8" s="10">
        <v>18</v>
      </c>
      <c r="E8" s="15">
        <v>3</v>
      </c>
      <c r="F8" s="10">
        <v>6</v>
      </c>
      <c r="G8" s="14">
        <v>7</v>
      </c>
    </row>
    <row r="9" spans="2:12" x14ac:dyDescent="0.25">
      <c r="B9" s="9" t="s">
        <v>9</v>
      </c>
      <c r="C9" s="11">
        <v>276</v>
      </c>
      <c r="D9" s="10">
        <v>3694</v>
      </c>
      <c r="E9" s="15">
        <v>19</v>
      </c>
      <c r="F9" s="10">
        <v>186</v>
      </c>
      <c r="G9" s="14">
        <v>2458</v>
      </c>
    </row>
    <row r="10" spans="2:12" x14ac:dyDescent="0.25">
      <c r="B10" s="9" t="s">
        <v>10</v>
      </c>
      <c r="C10" s="11">
        <v>341</v>
      </c>
      <c r="D10" s="10">
        <v>495</v>
      </c>
      <c r="E10" s="15">
        <v>759</v>
      </c>
      <c r="F10" s="10">
        <v>2881</v>
      </c>
      <c r="G10" s="14">
        <v>482</v>
      </c>
    </row>
    <row r="11" spans="2:12" x14ac:dyDescent="0.25">
      <c r="B11" s="9" t="s">
        <v>11</v>
      </c>
      <c r="C11" s="11">
        <v>1</v>
      </c>
      <c r="D11" s="11">
        <v>2</v>
      </c>
      <c r="E11" s="16">
        <v>1</v>
      </c>
      <c r="F11" s="11">
        <v>1</v>
      </c>
      <c r="G11" s="17">
        <v>1</v>
      </c>
    </row>
    <row r="12" spans="2:12" x14ac:dyDescent="0.25">
      <c r="B12" s="9" t="s">
        <v>12</v>
      </c>
      <c r="C12" s="11">
        <v>53</v>
      </c>
      <c r="D12" s="10">
        <v>142</v>
      </c>
      <c r="E12" s="15">
        <v>38</v>
      </c>
      <c r="F12" s="10">
        <v>29</v>
      </c>
      <c r="G12" s="14">
        <v>65</v>
      </c>
      <c r="H12" s="175"/>
      <c r="L12">
        <v>13857</v>
      </c>
    </row>
    <row r="13" spans="2:12" x14ac:dyDescent="0.25">
      <c r="B13" s="9" t="s">
        <v>13</v>
      </c>
      <c r="C13" s="11">
        <v>3527</v>
      </c>
      <c r="D13" s="10">
        <v>4361</v>
      </c>
      <c r="E13" s="15">
        <v>452</v>
      </c>
      <c r="F13" s="10">
        <v>4335</v>
      </c>
      <c r="G13" s="95">
        <v>71020</v>
      </c>
      <c r="L13">
        <v>5416</v>
      </c>
    </row>
    <row r="14" spans="2:12" x14ac:dyDescent="0.25">
      <c r="B14" s="9" t="s">
        <v>14</v>
      </c>
      <c r="C14" s="11">
        <v>3</v>
      </c>
      <c r="D14" s="10">
        <v>10</v>
      </c>
      <c r="E14" s="15">
        <v>6</v>
      </c>
      <c r="F14" s="10">
        <v>2</v>
      </c>
      <c r="G14" s="14">
        <v>3</v>
      </c>
      <c r="L14">
        <v>61</v>
      </c>
    </row>
    <row r="15" spans="2:12" x14ac:dyDescent="0.25">
      <c r="B15" s="9" t="s">
        <v>15</v>
      </c>
      <c r="C15" s="11">
        <v>639</v>
      </c>
      <c r="D15" s="10">
        <v>7442</v>
      </c>
      <c r="E15" s="15">
        <v>400</v>
      </c>
      <c r="F15" s="10">
        <v>458</v>
      </c>
      <c r="G15" s="95">
        <v>6539</v>
      </c>
      <c r="L15">
        <v>6</v>
      </c>
    </row>
    <row r="16" spans="2:12" x14ac:dyDescent="0.25">
      <c r="B16" s="9" t="s">
        <v>16</v>
      </c>
      <c r="C16" s="11">
        <v>50909</v>
      </c>
      <c r="D16" s="10">
        <v>380</v>
      </c>
      <c r="E16" s="15">
        <v>21</v>
      </c>
      <c r="F16" s="10">
        <v>50896</v>
      </c>
      <c r="G16" s="14">
        <v>315</v>
      </c>
      <c r="L16">
        <v>110</v>
      </c>
    </row>
    <row r="17" spans="2:13" x14ac:dyDescent="0.25">
      <c r="B17" s="9" t="s">
        <v>17</v>
      </c>
      <c r="C17" s="11">
        <v>1961</v>
      </c>
      <c r="D17" s="10">
        <v>6509</v>
      </c>
      <c r="E17" s="15">
        <v>233</v>
      </c>
      <c r="F17" s="10">
        <v>1960</v>
      </c>
      <c r="G17" s="14">
        <v>6503</v>
      </c>
      <c r="L17">
        <f>SUM(L12:L16)</f>
        <v>19450</v>
      </c>
    </row>
    <row r="18" spans="2:13" x14ac:dyDescent="0.25">
      <c r="B18" s="189" t="s">
        <v>186</v>
      </c>
      <c r="C18" s="190">
        <v>57847</v>
      </c>
      <c r="D18" s="190">
        <v>23149</v>
      </c>
      <c r="E18" s="190">
        <v>1969</v>
      </c>
      <c r="F18" s="190">
        <v>60773</v>
      </c>
      <c r="G18" s="194">
        <v>87413</v>
      </c>
    </row>
    <row r="19" spans="2:13" x14ac:dyDescent="0.25">
      <c r="B19" s="9" t="s">
        <v>23</v>
      </c>
      <c r="C19" s="10">
        <v>1991</v>
      </c>
      <c r="D19" s="10">
        <v>5235</v>
      </c>
      <c r="E19" s="15">
        <v>26</v>
      </c>
      <c r="F19" s="183">
        <v>1191</v>
      </c>
      <c r="G19" s="14">
        <v>3147</v>
      </c>
      <c r="M19" s="91">
        <v>1000</v>
      </c>
    </row>
    <row r="20" spans="2:13" x14ac:dyDescent="0.25">
      <c r="B20" s="9" t="s">
        <v>24</v>
      </c>
      <c r="C20" s="10">
        <v>549</v>
      </c>
      <c r="D20" s="10">
        <v>6649</v>
      </c>
      <c r="E20" s="15" t="s">
        <v>240</v>
      </c>
      <c r="F20" s="10">
        <v>549</v>
      </c>
      <c r="G20" s="14">
        <v>5222</v>
      </c>
      <c r="M20" s="91">
        <v>4</v>
      </c>
    </row>
    <row r="21" spans="2:13" x14ac:dyDescent="0.25">
      <c r="B21" s="9" t="s">
        <v>25</v>
      </c>
      <c r="C21" s="10">
        <v>6697</v>
      </c>
      <c r="D21" s="10">
        <v>13854</v>
      </c>
      <c r="E21" s="15" t="s">
        <v>217</v>
      </c>
      <c r="F21" s="10">
        <v>6697</v>
      </c>
      <c r="G21" s="14">
        <v>3299</v>
      </c>
      <c r="M21" s="91">
        <v>9</v>
      </c>
    </row>
    <row r="22" spans="2:13" x14ac:dyDescent="0.25">
      <c r="B22" s="9" t="s">
        <v>26</v>
      </c>
      <c r="C22" s="184">
        <v>120892</v>
      </c>
      <c r="D22" s="10" t="s">
        <v>241</v>
      </c>
      <c r="E22" s="15">
        <v>454</v>
      </c>
      <c r="F22" s="183">
        <v>370</v>
      </c>
      <c r="G22" s="14" t="s">
        <v>243</v>
      </c>
      <c r="M22" s="91">
        <v>50</v>
      </c>
    </row>
    <row r="23" spans="2:13" x14ac:dyDescent="0.25">
      <c r="B23" s="9" t="s">
        <v>27</v>
      </c>
      <c r="C23" s="11" t="s">
        <v>214</v>
      </c>
      <c r="D23" s="183" t="s">
        <v>215</v>
      </c>
      <c r="E23" s="15" t="s">
        <v>243</v>
      </c>
      <c r="F23" s="10" t="s">
        <v>218</v>
      </c>
      <c r="G23" s="14">
        <v>500</v>
      </c>
      <c r="J23">
        <f>11/500*100</f>
        <v>2.1999999999999997</v>
      </c>
      <c r="M23" s="91">
        <v>500</v>
      </c>
    </row>
    <row r="24" spans="2:13" x14ac:dyDescent="0.25">
      <c r="B24" s="9" t="s">
        <v>28</v>
      </c>
      <c r="C24" s="11">
        <v>12386</v>
      </c>
      <c r="D24" s="10">
        <v>20</v>
      </c>
      <c r="E24" s="187">
        <v>274</v>
      </c>
      <c r="F24" s="10">
        <v>15738</v>
      </c>
      <c r="G24" s="14">
        <v>2</v>
      </c>
      <c r="M24" s="91">
        <v>148</v>
      </c>
    </row>
    <row r="25" spans="2:13" x14ac:dyDescent="0.25">
      <c r="B25" s="9" t="s">
        <v>29</v>
      </c>
      <c r="C25" s="11">
        <v>572</v>
      </c>
      <c r="D25" s="10">
        <v>761</v>
      </c>
      <c r="E25" s="15">
        <v>67</v>
      </c>
      <c r="F25" s="10">
        <v>78</v>
      </c>
      <c r="G25" s="14">
        <v>78</v>
      </c>
      <c r="M25" s="91">
        <v>112</v>
      </c>
    </row>
    <row r="26" spans="2:13" x14ac:dyDescent="0.25">
      <c r="B26" s="9" t="s">
        <v>30</v>
      </c>
      <c r="C26" s="11">
        <v>1290</v>
      </c>
      <c r="D26" s="11">
        <v>5871</v>
      </c>
      <c r="E26" s="188">
        <v>108</v>
      </c>
      <c r="F26" s="11">
        <v>613</v>
      </c>
      <c r="G26" s="17">
        <v>609</v>
      </c>
      <c r="M26" s="91">
        <v>3067</v>
      </c>
    </row>
    <row r="27" spans="2:13" x14ac:dyDescent="0.25">
      <c r="B27" s="9" t="s">
        <v>31</v>
      </c>
      <c r="C27" s="11" t="s">
        <v>216</v>
      </c>
      <c r="D27" s="10" t="s">
        <v>242</v>
      </c>
      <c r="E27" s="15">
        <v>581</v>
      </c>
      <c r="F27" s="10" t="s">
        <v>219</v>
      </c>
      <c r="G27" s="14" t="s">
        <v>244</v>
      </c>
      <c r="M27" s="91">
        <v>100</v>
      </c>
    </row>
    <row r="28" spans="2:13" x14ac:dyDescent="0.25">
      <c r="B28" s="9" t="s">
        <v>32</v>
      </c>
      <c r="C28" s="11">
        <v>953</v>
      </c>
      <c r="D28" s="10">
        <v>984</v>
      </c>
      <c r="E28" s="187">
        <v>278</v>
      </c>
      <c r="F28" s="10">
        <v>892</v>
      </c>
      <c r="G28" s="14">
        <v>901</v>
      </c>
      <c r="M28" s="91">
        <v>102</v>
      </c>
    </row>
    <row r="29" spans="2:13" x14ac:dyDescent="0.25">
      <c r="B29" s="189" t="s">
        <v>186</v>
      </c>
      <c r="C29" s="191">
        <v>167267</v>
      </c>
      <c r="D29" s="191">
        <v>350422</v>
      </c>
      <c r="E29" s="191">
        <v>3404</v>
      </c>
      <c r="F29" s="191">
        <v>29879</v>
      </c>
      <c r="G29" s="195">
        <v>50969</v>
      </c>
    </row>
    <row r="30" spans="2:13" s="192" customFormat="1" x14ac:dyDescent="0.25">
      <c r="B30" s="18" t="s">
        <v>137</v>
      </c>
      <c r="C30" s="11" t="s">
        <v>220</v>
      </c>
      <c r="D30" s="14" t="s">
        <v>224</v>
      </c>
      <c r="E30" s="11" t="s">
        <v>227</v>
      </c>
      <c r="F30" s="11" t="s">
        <v>220</v>
      </c>
      <c r="G30" s="17" t="s">
        <v>224</v>
      </c>
      <c r="J30" s="11">
        <v>6206</v>
      </c>
      <c r="K30" s="192">
        <f>J30/M30*100</f>
        <v>2.7316102679671821</v>
      </c>
      <c r="M30" s="91">
        <v>227192</v>
      </c>
    </row>
    <row r="31" spans="2:13" s="192" customFormat="1" x14ac:dyDescent="0.25">
      <c r="B31" s="18" t="s">
        <v>138</v>
      </c>
      <c r="C31" s="11" t="s">
        <v>229</v>
      </c>
      <c r="D31" s="14" t="s">
        <v>225</v>
      </c>
      <c r="E31" s="11" t="s">
        <v>228</v>
      </c>
      <c r="F31" s="11" t="s">
        <v>229</v>
      </c>
      <c r="G31" s="17" t="s">
        <v>238</v>
      </c>
      <c r="J31" s="11">
        <v>2760</v>
      </c>
      <c r="K31" s="192">
        <f t="shared" ref="K31:K37" si="0">J31/M31*100</f>
        <v>1.8051131792882882</v>
      </c>
      <c r="M31" s="91">
        <v>152899</v>
      </c>
    </row>
    <row r="32" spans="2:13" s="192" customFormat="1" x14ac:dyDescent="0.25">
      <c r="B32" s="18" t="s">
        <v>139</v>
      </c>
      <c r="C32" s="11" t="s">
        <v>229</v>
      </c>
      <c r="D32" s="14">
        <v>2734572</v>
      </c>
      <c r="E32" s="11" t="s">
        <v>230</v>
      </c>
      <c r="F32" s="11" t="s">
        <v>229</v>
      </c>
      <c r="G32" s="14">
        <v>2734572</v>
      </c>
      <c r="J32" s="11">
        <v>0</v>
      </c>
      <c r="K32" s="192">
        <f t="shared" si="0"/>
        <v>0</v>
      </c>
      <c r="M32" s="91">
        <v>257158</v>
      </c>
    </row>
    <row r="33" spans="1:13" x14ac:dyDescent="0.25">
      <c r="A33" s="192"/>
      <c r="B33" s="18" t="s">
        <v>140</v>
      </c>
      <c r="C33" s="11" t="s">
        <v>221</v>
      </c>
      <c r="D33" s="14" t="s">
        <v>235</v>
      </c>
      <c r="E33" s="11" t="s">
        <v>234</v>
      </c>
      <c r="F33" s="11" t="s">
        <v>236</v>
      </c>
      <c r="G33" s="17" t="s">
        <v>239</v>
      </c>
      <c r="J33" s="11">
        <v>192032</v>
      </c>
      <c r="K33" s="192">
        <f t="shared" si="0"/>
        <v>48.345938107370515</v>
      </c>
      <c r="M33" s="157">
        <v>397204</v>
      </c>
    </row>
    <row r="34" spans="1:13" ht="15.75" thickBot="1" x14ac:dyDescent="0.3">
      <c r="A34" s="192"/>
      <c r="B34" s="18" t="s">
        <v>141</v>
      </c>
      <c r="C34" s="11" t="s">
        <v>229</v>
      </c>
      <c r="D34" s="14" t="s">
        <v>247</v>
      </c>
      <c r="E34" s="11" t="s">
        <v>231</v>
      </c>
      <c r="F34" s="11" t="s">
        <v>229</v>
      </c>
      <c r="G34" s="17" t="s">
        <v>245</v>
      </c>
      <c r="J34" s="11">
        <v>0</v>
      </c>
      <c r="K34" s="192">
        <f t="shared" si="0"/>
        <v>0</v>
      </c>
      <c r="M34" s="91">
        <v>190575</v>
      </c>
    </row>
    <row r="35" spans="1:13" ht="15.75" thickBot="1" x14ac:dyDescent="0.3">
      <c r="A35" s="192"/>
      <c r="B35" s="18" t="s">
        <v>142</v>
      </c>
      <c r="C35" s="11" t="s">
        <v>222</v>
      </c>
      <c r="D35" s="17" t="s">
        <v>248</v>
      </c>
      <c r="E35" s="11" t="s">
        <v>232</v>
      </c>
      <c r="F35" s="11" t="s">
        <v>237</v>
      </c>
      <c r="G35" s="17" t="s">
        <v>246</v>
      </c>
      <c r="J35" s="11">
        <v>0</v>
      </c>
      <c r="K35" s="192">
        <f t="shared" si="0"/>
        <v>0</v>
      </c>
      <c r="M35" s="131">
        <v>282154</v>
      </c>
    </row>
    <row r="36" spans="1:13" x14ac:dyDescent="0.25">
      <c r="B36" s="18" t="s">
        <v>143</v>
      </c>
      <c r="C36" s="91">
        <v>74387</v>
      </c>
      <c r="D36" s="11">
        <v>867628</v>
      </c>
      <c r="E36" s="188">
        <v>267</v>
      </c>
      <c r="F36" s="11">
        <v>23381</v>
      </c>
      <c r="G36" s="17">
        <v>1341384</v>
      </c>
      <c r="J36" s="11">
        <v>80459</v>
      </c>
      <c r="K36" s="192">
        <f t="shared" si="0"/>
        <v>100</v>
      </c>
      <c r="M36" s="91">
        <v>80459</v>
      </c>
    </row>
    <row r="37" spans="1:13" ht="15.75" thickBot="1" x14ac:dyDescent="0.3">
      <c r="B37" s="18" t="s">
        <v>144</v>
      </c>
      <c r="C37" s="11" t="s">
        <v>223</v>
      </c>
      <c r="D37" s="11" t="s">
        <v>226</v>
      </c>
      <c r="E37" s="188" t="s">
        <v>233</v>
      </c>
      <c r="F37" s="11" t="s">
        <v>223</v>
      </c>
      <c r="G37" s="17" t="s">
        <v>226</v>
      </c>
      <c r="J37" s="11">
        <v>156</v>
      </c>
      <c r="K37" s="192">
        <f t="shared" si="0"/>
        <v>5.0863207316476741E-2</v>
      </c>
      <c r="M37" s="96">
        <v>306705</v>
      </c>
    </row>
    <row r="38" spans="1:13" x14ac:dyDescent="0.25">
      <c r="B38" s="189" t="s">
        <v>186</v>
      </c>
      <c r="C38" s="191">
        <v>4118345</v>
      </c>
      <c r="D38" s="191">
        <v>6132552</v>
      </c>
      <c r="E38" s="193">
        <v>43515</v>
      </c>
      <c r="F38" s="191">
        <v>3662684</v>
      </c>
      <c r="G38" s="195">
        <v>6605686</v>
      </c>
      <c r="J38" s="11"/>
      <c r="K38" s="192"/>
      <c r="M38" s="91"/>
    </row>
    <row r="39" spans="1:13" ht="15.75" thickBot="1" x14ac:dyDescent="0.3">
      <c r="B39" s="196" t="s">
        <v>187</v>
      </c>
      <c r="C39" s="197">
        <v>4343459</v>
      </c>
      <c r="D39" s="197">
        <v>6506123</v>
      </c>
      <c r="E39" s="197">
        <v>48888</v>
      </c>
      <c r="F39" s="197">
        <v>3753336</v>
      </c>
      <c r="G39" s="198">
        <v>6744068</v>
      </c>
    </row>
    <row r="41" spans="1:13" ht="15.75" thickBot="1" x14ac:dyDescent="0.3"/>
    <row r="42" spans="1:13" x14ac:dyDescent="0.25">
      <c r="B42" s="4" t="s">
        <v>1</v>
      </c>
      <c r="C42" s="5" t="s">
        <v>18</v>
      </c>
      <c r="D42" s="5" t="s">
        <v>19</v>
      </c>
      <c r="E42" s="6" t="s">
        <v>3</v>
      </c>
      <c r="F42" s="7" t="s">
        <v>20</v>
      </c>
      <c r="G42" s="5" t="s">
        <v>21</v>
      </c>
      <c r="H42" s="8" t="s">
        <v>22</v>
      </c>
    </row>
    <row r="43" spans="1:13" x14ac:dyDescent="0.25">
      <c r="B43" s="9" t="s">
        <v>39</v>
      </c>
      <c r="C43" s="10" t="s">
        <v>191</v>
      </c>
      <c r="D43" s="10" t="s">
        <v>191</v>
      </c>
      <c r="E43" s="14" t="s">
        <v>200</v>
      </c>
      <c r="F43" s="10" t="s">
        <v>207</v>
      </c>
      <c r="G43" s="10" t="s">
        <v>191</v>
      </c>
      <c r="H43" s="14" t="s">
        <v>200</v>
      </c>
    </row>
    <row r="44" spans="1:13" x14ac:dyDescent="0.25">
      <c r="B44" s="9" t="s">
        <v>40</v>
      </c>
      <c r="C44" s="10" t="s">
        <v>190</v>
      </c>
      <c r="D44" s="10" t="s">
        <v>190</v>
      </c>
      <c r="E44" s="14" t="s">
        <v>201</v>
      </c>
      <c r="F44" s="10" t="s">
        <v>208</v>
      </c>
      <c r="G44" s="10" t="s">
        <v>190</v>
      </c>
      <c r="H44" s="14" t="s">
        <v>201</v>
      </c>
    </row>
    <row r="45" spans="1:13" x14ac:dyDescent="0.25">
      <c r="B45" s="9" t="s">
        <v>41</v>
      </c>
      <c r="C45" s="10" t="s">
        <v>190</v>
      </c>
      <c r="D45" s="10" t="s">
        <v>190</v>
      </c>
      <c r="E45" s="14" t="s">
        <v>195</v>
      </c>
      <c r="F45" s="10" t="s">
        <v>209</v>
      </c>
      <c r="G45" s="10" t="s">
        <v>190</v>
      </c>
      <c r="H45" s="14" t="s">
        <v>202</v>
      </c>
    </row>
    <row r="46" spans="1:13" x14ac:dyDescent="0.25">
      <c r="B46" s="9" t="s">
        <v>42</v>
      </c>
      <c r="C46" s="10" t="s">
        <v>188</v>
      </c>
      <c r="D46" s="10" t="s">
        <v>188</v>
      </c>
      <c r="E46" s="14" t="s">
        <v>196</v>
      </c>
      <c r="F46" s="10" t="s">
        <v>210</v>
      </c>
      <c r="G46" s="10" t="s">
        <v>193</v>
      </c>
      <c r="H46" s="14" t="s">
        <v>203</v>
      </c>
    </row>
    <row r="47" spans="1:13" x14ac:dyDescent="0.25">
      <c r="B47" s="9" t="s">
        <v>43</v>
      </c>
      <c r="C47" s="10" t="s">
        <v>190</v>
      </c>
      <c r="D47" s="10" t="s">
        <v>190</v>
      </c>
      <c r="E47" s="14" t="s">
        <v>197</v>
      </c>
      <c r="F47" s="10" t="s">
        <v>211</v>
      </c>
      <c r="G47" s="10" t="s">
        <v>190</v>
      </c>
      <c r="H47" s="14" t="s">
        <v>204</v>
      </c>
    </row>
    <row r="48" spans="1:13" x14ac:dyDescent="0.25">
      <c r="B48" s="9" t="s">
        <v>44</v>
      </c>
      <c r="C48" s="10" t="s">
        <v>199</v>
      </c>
      <c r="D48" s="10" t="s">
        <v>199</v>
      </c>
      <c r="E48" s="17" t="s">
        <v>198</v>
      </c>
      <c r="F48" s="10" t="s">
        <v>213</v>
      </c>
      <c r="G48" s="10" t="s">
        <v>194</v>
      </c>
      <c r="H48" s="17" t="s">
        <v>206</v>
      </c>
    </row>
    <row r="49" spans="2:10" x14ac:dyDescent="0.25">
      <c r="B49" s="9" t="s">
        <v>45</v>
      </c>
      <c r="C49" s="10">
        <v>122633</v>
      </c>
      <c r="D49" s="10">
        <v>122500</v>
      </c>
      <c r="E49">
        <v>114456</v>
      </c>
      <c r="F49" s="10">
        <v>105447</v>
      </c>
      <c r="G49" s="10">
        <v>119449</v>
      </c>
      <c r="H49" s="14">
        <v>114400</v>
      </c>
    </row>
    <row r="50" spans="2:10" x14ac:dyDescent="0.25">
      <c r="B50" s="9" t="s">
        <v>46</v>
      </c>
      <c r="C50" s="11" t="s">
        <v>189</v>
      </c>
      <c r="D50" s="11" t="s">
        <v>189</v>
      </c>
      <c r="E50" t="s">
        <v>205</v>
      </c>
      <c r="F50" s="11" t="s">
        <v>212</v>
      </c>
      <c r="G50" s="11" t="s">
        <v>189</v>
      </c>
      <c r="H50" t="s">
        <v>205</v>
      </c>
    </row>
    <row r="52" spans="2:10" ht="15.75" thickBot="1" x14ac:dyDescent="0.3"/>
    <row r="53" spans="2:10" x14ac:dyDescent="0.25">
      <c r="B53" s="4" t="s">
        <v>1</v>
      </c>
      <c r="C53" s="5" t="s">
        <v>0</v>
      </c>
      <c r="D53" s="6" t="s">
        <v>3</v>
      </c>
      <c r="E53" s="7" t="s">
        <v>20</v>
      </c>
      <c r="F53" s="5" t="s">
        <v>21</v>
      </c>
      <c r="G53" s="8" t="s">
        <v>22</v>
      </c>
    </row>
    <row r="54" spans="2:10" x14ac:dyDescent="0.25">
      <c r="B54" s="9" t="s">
        <v>4</v>
      </c>
      <c r="C54" s="10">
        <v>15</v>
      </c>
      <c r="D54" s="10">
        <v>46</v>
      </c>
      <c r="E54" s="15">
        <v>25</v>
      </c>
      <c r="F54" s="10">
        <v>4</v>
      </c>
      <c r="G54" s="14">
        <v>4</v>
      </c>
      <c r="I54" s="112">
        <f>C54-F54</f>
        <v>11</v>
      </c>
      <c r="J54" s="112">
        <f>D54-G54</f>
        <v>42</v>
      </c>
    </row>
    <row r="55" spans="2:10" x14ac:dyDescent="0.25">
      <c r="B55" s="9" t="s">
        <v>5</v>
      </c>
      <c r="C55" s="10">
        <v>2</v>
      </c>
      <c r="D55" s="10">
        <v>12</v>
      </c>
      <c r="E55" s="15">
        <v>3</v>
      </c>
      <c r="F55" s="10">
        <v>2</v>
      </c>
      <c r="G55" s="14">
        <v>2</v>
      </c>
      <c r="I55" s="112">
        <f t="shared" ref="I55:I88" si="1">C55-F55</f>
        <v>0</v>
      </c>
      <c r="J55" s="112">
        <f t="shared" ref="J55:J82" si="2">D55-G55</f>
        <v>10</v>
      </c>
    </row>
    <row r="56" spans="2:10" x14ac:dyDescent="0.25">
      <c r="B56" s="9" t="s">
        <v>6</v>
      </c>
      <c r="C56" s="10">
        <v>34</v>
      </c>
      <c r="D56" s="10">
        <v>23</v>
      </c>
      <c r="E56" s="15">
        <v>4</v>
      </c>
      <c r="F56" s="10">
        <v>10</v>
      </c>
      <c r="G56" s="14">
        <v>11</v>
      </c>
      <c r="I56" s="112">
        <f t="shared" si="1"/>
        <v>24</v>
      </c>
      <c r="J56" s="112">
        <f t="shared" si="2"/>
        <v>12</v>
      </c>
    </row>
    <row r="57" spans="2:10" x14ac:dyDescent="0.25">
      <c r="B57" s="9" t="s">
        <v>7</v>
      </c>
      <c r="C57" s="11">
        <v>59</v>
      </c>
      <c r="D57" s="10">
        <v>15</v>
      </c>
      <c r="E57" s="15">
        <v>5</v>
      </c>
      <c r="F57" s="10">
        <v>3</v>
      </c>
      <c r="G57" s="14">
        <v>3</v>
      </c>
      <c r="I57" s="112">
        <f t="shared" si="1"/>
        <v>56</v>
      </c>
      <c r="J57" s="112">
        <f t="shared" si="2"/>
        <v>12</v>
      </c>
    </row>
    <row r="58" spans="2:10" x14ac:dyDescent="0.25">
      <c r="B58" s="9" t="s">
        <v>8</v>
      </c>
      <c r="C58" s="11">
        <v>27</v>
      </c>
      <c r="D58" s="10">
        <v>18</v>
      </c>
      <c r="E58" s="15">
        <v>3</v>
      </c>
      <c r="F58" s="10">
        <v>6</v>
      </c>
      <c r="G58" s="14">
        <v>7</v>
      </c>
      <c r="I58" s="112">
        <f t="shared" si="1"/>
        <v>21</v>
      </c>
      <c r="J58" s="112">
        <f t="shared" si="2"/>
        <v>11</v>
      </c>
    </row>
    <row r="59" spans="2:10" x14ac:dyDescent="0.25">
      <c r="B59" s="9" t="s">
        <v>9</v>
      </c>
      <c r="C59" s="11">
        <v>276</v>
      </c>
      <c r="D59" s="10">
        <v>3694</v>
      </c>
      <c r="E59" s="15">
        <v>19</v>
      </c>
      <c r="F59" s="10">
        <v>186</v>
      </c>
      <c r="G59" s="14">
        <v>2458</v>
      </c>
      <c r="I59" s="112">
        <f t="shared" si="1"/>
        <v>90</v>
      </c>
      <c r="J59" s="112">
        <f t="shared" si="2"/>
        <v>1236</v>
      </c>
    </row>
    <row r="60" spans="2:10" x14ac:dyDescent="0.25">
      <c r="B60" s="9" t="s">
        <v>10</v>
      </c>
      <c r="C60" s="11">
        <v>341</v>
      </c>
      <c r="D60" s="10">
        <v>495</v>
      </c>
      <c r="E60" s="15">
        <v>759</v>
      </c>
      <c r="F60" s="10">
        <v>2881</v>
      </c>
      <c r="G60" s="14">
        <v>482</v>
      </c>
      <c r="I60" s="112">
        <f t="shared" si="1"/>
        <v>-2540</v>
      </c>
      <c r="J60" s="112">
        <f t="shared" si="2"/>
        <v>13</v>
      </c>
    </row>
    <row r="61" spans="2:10" x14ac:dyDescent="0.25">
      <c r="B61" s="9" t="s">
        <v>11</v>
      </c>
      <c r="C61" s="11">
        <v>1</v>
      </c>
      <c r="D61" s="11">
        <v>2</v>
      </c>
      <c r="E61" s="16">
        <v>1</v>
      </c>
      <c r="F61" s="11">
        <v>1</v>
      </c>
      <c r="G61" s="17">
        <v>1</v>
      </c>
      <c r="I61" s="112">
        <f t="shared" si="1"/>
        <v>0</v>
      </c>
      <c r="J61" s="112">
        <f t="shared" si="2"/>
        <v>1</v>
      </c>
    </row>
    <row r="62" spans="2:10" x14ac:dyDescent="0.25">
      <c r="B62" s="9" t="s">
        <v>12</v>
      </c>
      <c r="C62" s="11">
        <v>53</v>
      </c>
      <c r="D62" s="10">
        <v>142</v>
      </c>
      <c r="E62" s="15">
        <v>38</v>
      </c>
      <c r="F62" s="10">
        <v>29</v>
      </c>
      <c r="G62" s="14">
        <v>65</v>
      </c>
      <c r="I62" s="112">
        <f t="shared" si="1"/>
        <v>24</v>
      </c>
      <c r="J62" s="112">
        <f t="shared" si="2"/>
        <v>77</v>
      </c>
    </row>
    <row r="63" spans="2:10" x14ac:dyDescent="0.25">
      <c r="B63" s="9" t="s">
        <v>13</v>
      </c>
      <c r="C63" s="11">
        <v>3527</v>
      </c>
      <c r="D63" s="10">
        <v>4361</v>
      </c>
      <c r="E63" s="15">
        <v>452</v>
      </c>
      <c r="F63" s="10">
        <v>4335</v>
      </c>
      <c r="G63">
        <v>71020</v>
      </c>
      <c r="I63" s="112">
        <f t="shared" si="1"/>
        <v>-808</v>
      </c>
      <c r="J63" s="112">
        <f t="shared" si="2"/>
        <v>-66659</v>
      </c>
    </row>
    <row r="64" spans="2:10" x14ac:dyDescent="0.25">
      <c r="B64" s="9" t="s">
        <v>14</v>
      </c>
      <c r="C64" s="11">
        <v>3</v>
      </c>
      <c r="D64" s="10">
        <v>10</v>
      </c>
      <c r="E64" s="15">
        <v>6</v>
      </c>
      <c r="F64" s="10">
        <v>2</v>
      </c>
      <c r="G64" s="14">
        <v>3</v>
      </c>
      <c r="I64" s="112">
        <f t="shared" si="1"/>
        <v>1</v>
      </c>
      <c r="J64" s="112">
        <f t="shared" si="2"/>
        <v>7</v>
      </c>
    </row>
    <row r="65" spans="2:10" x14ac:dyDescent="0.25">
      <c r="B65" s="9" t="s">
        <v>15</v>
      </c>
      <c r="C65" s="11">
        <v>639</v>
      </c>
      <c r="D65" s="10">
        <v>7442</v>
      </c>
      <c r="E65" s="15">
        <v>400</v>
      </c>
      <c r="F65" s="10">
        <v>458</v>
      </c>
      <c r="G65">
        <v>6539</v>
      </c>
      <c r="I65" s="112">
        <f t="shared" si="1"/>
        <v>181</v>
      </c>
      <c r="J65" s="112">
        <f t="shared" si="2"/>
        <v>903</v>
      </c>
    </row>
    <row r="66" spans="2:10" x14ac:dyDescent="0.25">
      <c r="B66" s="9" t="s">
        <v>16</v>
      </c>
      <c r="C66" s="11">
        <v>50909</v>
      </c>
      <c r="D66" s="10">
        <v>380</v>
      </c>
      <c r="E66" s="15">
        <v>21</v>
      </c>
      <c r="F66" s="10">
        <v>50896</v>
      </c>
      <c r="G66" s="14">
        <v>315</v>
      </c>
      <c r="I66" s="112">
        <f t="shared" si="1"/>
        <v>13</v>
      </c>
      <c r="J66" s="112">
        <f t="shared" si="2"/>
        <v>65</v>
      </c>
    </row>
    <row r="67" spans="2:10" x14ac:dyDescent="0.25">
      <c r="B67" s="9" t="s">
        <v>17</v>
      </c>
      <c r="C67" s="11">
        <v>1961</v>
      </c>
      <c r="D67" s="10">
        <v>6509</v>
      </c>
      <c r="E67" s="15">
        <v>233</v>
      </c>
      <c r="F67" s="10">
        <v>1960</v>
      </c>
      <c r="G67" s="14">
        <v>6503</v>
      </c>
      <c r="I67" s="112">
        <f t="shared" si="1"/>
        <v>1</v>
      </c>
      <c r="J67" s="112">
        <f t="shared" si="2"/>
        <v>6</v>
      </c>
    </row>
    <row r="68" spans="2:10" x14ac:dyDescent="0.25">
      <c r="B68" s="189" t="s">
        <v>186</v>
      </c>
      <c r="C68" s="190">
        <f>SUM(C54:C67)</f>
        <v>57847</v>
      </c>
      <c r="D68" s="190">
        <f t="shared" ref="D68:G68" si="3">SUM(D54:D67)</f>
        <v>23149</v>
      </c>
      <c r="E68" s="190">
        <f t="shared" si="3"/>
        <v>1969</v>
      </c>
      <c r="F68" s="190">
        <f t="shared" si="3"/>
        <v>60773</v>
      </c>
      <c r="G68" s="190">
        <f t="shared" si="3"/>
        <v>87413</v>
      </c>
      <c r="I68" s="112"/>
      <c r="J68" s="112"/>
    </row>
    <row r="69" spans="2:10" x14ac:dyDescent="0.25">
      <c r="B69" s="9" t="s">
        <v>23</v>
      </c>
      <c r="C69" s="10">
        <v>1991</v>
      </c>
      <c r="D69" s="10">
        <v>5235</v>
      </c>
      <c r="E69" s="15">
        <v>26</v>
      </c>
      <c r="F69" s="183">
        <v>1191</v>
      </c>
      <c r="G69" s="14">
        <v>3147</v>
      </c>
      <c r="I69" s="112">
        <f t="shared" si="1"/>
        <v>800</v>
      </c>
      <c r="J69" s="112">
        <f t="shared" si="2"/>
        <v>2088</v>
      </c>
    </row>
    <row r="70" spans="2:10" x14ac:dyDescent="0.25">
      <c r="B70" s="9" t="s">
        <v>24</v>
      </c>
      <c r="C70" s="10">
        <v>549</v>
      </c>
      <c r="D70" s="10">
        <v>6649</v>
      </c>
      <c r="E70" s="15">
        <v>266</v>
      </c>
      <c r="F70" s="10">
        <v>549</v>
      </c>
      <c r="G70" s="14">
        <v>5222</v>
      </c>
      <c r="I70" s="112">
        <f t="shared" si="1"/>
        <v>0</v>
      </c>
      <c r="J70" s="112">
        <f t="shared" si="2"/>
        <v>1427</v>
      </c>
    </row>
    <row r="71" spans="2:10" x14ac:dyDescent="0.25">
      <c r="B71" s="9" t="s">
        <v>25</v>
      </c>
      <c r="C71" s="10">
        <v>6697</v>
      </c>
      <c r="D71" s="10">
        <v>13854</v>
      </c>
      <c r="E71" s="15">
        <v>1350</v>
      </c>
      <c r="F71" s="10">
        <v>6697</v>
      </c>
      <c r="G71" s="14">
        <v>3299</v>
      </c>
      <c r="I71" s="112">
        <f t="shared" si="1"/>
        <v>0</v>
      </c>
      <c r="J71" s="112">
        <f t="shared" si="2"/>
        <v>10555</v>
      </c>
    </row>
    <row r="72" spans="2:10" x14ac:dyDescent="0.25">
      <c r="B72" s="9" t="s">
        <v>26</v>
      </c>
      <c r="C72" s="184">
        <v>120892</v>
      </c>
      <c r="D72" s="10">
        <v>78</v>
      </c>
      <c r="E72" s="15">
        <v>454</v>
      </c>
      <c r="F72" s="183">
        <v>370</v>
      </c>
      <c r="G72" s="14">
        <v>0</v>
      </c>
      <c r="I72" s="112">
        <f t="shared" si="1"/>
        <v>120522</v>
      </c>
      <c r="J72" s="112"/>
    </row>
    <row r="73" spans="2:10" x14ac:dyDescent="0.25">
      <c r="B73" s="9" t="s">
        <v>27</v>
      </c>
      <c r="C73" s="11">
        <v>19450</v>
      </c>
      <c r="D73" s="183">
        <v>311578</v>
      </c>
      <c r="E73" s="15">
        <v>0</v>
      </c>
      <c r="F73" s="10">
        <v>3568</v>
      </c>
      <c r="G73" s="14">
        <v>500</v>
      </c>
      <c r="I73" s="112"/>
      <c r="J73" s="112"/>
    </row>
    <row r="74" spans="2:10" x14ac:dyDescent="0.25">
      <c r="B74" s="9" t="s">
        <v>28</v>
      </c>
      <c r="C74" s="11">
        <v>12386</v>
      </c>
      <c r="D74" s="10">
        <v>20</v>
      </c>
      <c r="E74" s="187">
        <v>274</v>
      </c>
      <c r="F74" s="10">
        <v>15738</v>
      </c>
      <c r="G74" s="14">
        <v>2</v>
      </c>
      <c r="I74" s="112">
        <f t="shared" si="1"/>
        <v>-3352</v>
      </c>
      <c r="J74" s="112">
        <f t="shared" si="2"/>
        <v>18</v>
      </c>
    </row>
    <row r="75" spans="2:10" x14ac:dyDescent="0.25">
      <c r="B75" s="9" t="s">
        <v>29</v>
      </c>
      <c r="C75" s="11">
        <v>572</v>
      </c>
      <c r="D75" s="10">
        <v>761</v>
      </c>
      <c r="E75" s="15">
        <v>67</v>
      </c>
      <c r="F75" s="10">
        <v>78</v>
      </c>
      <c r="G75" s="14">
        <v>78</v>
      </c>
      <c r="I75" s="112">
        <f t="shared" si="1"/>
        <v>494</v>
      </c>
      <c r="J75" s="112">
        <f t="shared" si="2"/>
        <v>683</v>
      </c>
    </row>
    <row r="76" spans="2:10" x14ac:dyDescent="0.25">
      <c r="B76" s="9" t="s">
        <v>30</v>
      </c>
      <c r="C76" s="11">
        <v>1290</v>
      </c>
      <c r="D76" s="11">
        <v>5871</v>
      </c>
      <c r="E76" s="188">
        <v>108</v>
      </c>
      <c r="F76" s="11">
        <v>613</v>
      </c>
      <c r="G76" s="17">
        <v>609</v>
      </c>
      <c r="I76" s="112">
        <f t="shared" si="1"/>
        <v>677</v>
      </c>
      <c r="J76" s="112">
        <f t="shared" si="2"/>
        <v>5262</v>
      </c>
    </row>
    <row r="77" spans="2:10" x14ac:dyDescent="0.25">
      <c r="B77" s="9" t="s">
        <v>31</v>
      </c>
      <c r="C77" s="11">
        <v>2487</v>
      </c>
      <c r="D77" s="10">
        <v>5392</v>
      </c>
      <c r="E77" s="15">
        <v>581</v>
      </c>
      <c r="F77" s="10">
        <v>183</v>
      </c>
      <c r="G77" s="14">
        <v>37211</v>
      </c>
      <c r="I77" s="112"/>
      <c r="J77" s="112"/>
    </row>
    <row r="78" spans="2:10" x14ac:dyDescent="0.25">
      <c r="B78" s="9" t="s">
        <v>32</v>
      </c>
      <c r="C78" s="11">
        <v>953</v>
      </c>
      <c r="D78" s="10">
        <v>984</v>
      </c>
      <c r="E78" s="187">
        <v>278</v>
      </c>
      <c r="F78" s="10">
        <v>892</v>
      </c>
      <c r="G78" s="14">
        <v>901</v>
      </c>
      <c r="I78" s="112">
        <f t="shared" si="1"/>
        <v>61</v>
      </c>
      <c r="J78" s="112">
        <f t="shared" si="2"/>
        <v>83</v>
      </c>
    </row>
    <row r="79" spans="2:10" x14ac:dyDescent="0.25">
      <c r="B79" s="189" t="s">
        <v>186</v>
      </c>
      <c r="C79" s="191">
        <f>SUM(C69:C78)</f>
        <v>167267</v>
      </c>
      <c r="D79" s="191">
        <f t="shared" ref="D79:G79" si="4">SUM(D69:D78)</f>
        <v>350422</v>
      </c>
      <c r="E79" s="191">
        <f t="shared" si="4"/>
        <v>3404</v>
      </c>
      <c r="F79" s="191">
        <f t="shared" si="4"/>
        <v>29879</v>
      </c>
      <c r="G79" s="191">
        <f t="shared" si="4"/>
        <v>50969</v>
      </c>
      <c r="I79" s="112">
        <f t="shared" si="1"/>
        <v>137388</v>
      </c>
      <c r="J79" s="112"/>
    </row>
    <row r="80" spans="2:10" x14ac:dyDescent="0.25">
      <c r="B80" s="18" t="s">
        <v>137</v>
      </c>
      <c r="C80" s="11">
        <v>2320</v>
      </c>
      <c r="D80" s="14">
        <v>16</v>
      </c>
      <c r="E80" s="11">
        <v>1947</v>
      </c>
      <c r="F80" s="11">
        <v>2320</v>
      </c>
      <c r="G80" s="11">
        <v>16</v>
      </c>
      <c r="I80" s="112"/>
      <c r="J80" s="112"/>
    </row>
    <row r="81" spans="2:10" x14ac:dyDescent="0.25">
      <c r="B81" s="18" t="s">
        <v>138</v>
      </c>
      <c r="C81" s="11">
        <v>1</v>
      </c>
      <c r="D81" s="14">
        <v>80</v>
      </c>
      <c r="E81" s="11">
        <v>1609</v>
      </c>
      <c r="F81" s="11">
        <v>1</v>
      </c>
      <c r="G81" s="11">
        <v>80</v>
      </c>
      <c r="I81" s="112"/>
      <c r="J81" s="112"/>
    </row>
    <row r="82" spans="2:10" x14ac:dyDescent="0.25">
      <c r="B82" s="18" t="s">
        <v>139</v>
      </c>
      <c r="C82" s="11">
        <v>1</v>
      </c>
      <c r="D82" s="14">
        <v>2734572</v>
      </c>
      <c r="E82" s="11">
        <v>5553</v>
      </c>
      <c r="F82" s="11">
        <v>1</v>
      </c>
      <c r="G82" s="14">
        <v>2734572</v>
      </c>
      <c r="I82" s="112">
        <f t="shared" si="1"/>
        <v>0</v>
      </c>
      <c r="J82" s="112">
        <f t="shared" si="2"/>
        <v>0</v>
      </c>
    </row>
    <row r="83" spans="2:10" x14ac:dyDescent="0.25">
      <c r="B83" s="18" t="s">
        <v>140</v>
      </c>
      <c r="C83" s="11">
        <v>3967</v>
      </c>
      <c r="D83" s="14">
        <v>16321</v>
      </c>
      <c r="E83" s="11">
        <v>11290</v>
      </c>
      <c r="F83" s="11">
        <v>15721</v>
      </c>
      <c r="G83" s="11">
        <v>16220</v>
      </c>
      <c r="I83" s="112"/>
      <c r="J83" s="112"/>
    </row>
    <row r="84" spans="2:10" x14ac:dyDescent="0.25">
      <c r="B84" s="18" t="s">
        <v>141</v>
      </c>
      <c r="C84" s="11">
        <v>1</v>
      </c>
      <c r="D84" s="14">
        <v>28342</v>
      </c>
      <c r="E84" s="11">
        <v>3840</v>
      </c>
      <c r="F84" s="11">
        <v>1</v>
      </c>
      <c r="G84" s="11">
        <v>28212</v>
      </c>
      <c r="I84" s="112"/>
      <c r="J84" s="112"/>
    </row>
    <row r="85" spans="2:10" x14ac:dyDescent="0.25">
      <c r="B85" s="18" t="s">
        <v>142</v>
      </c>
      <c r="C85" s="11">
        <v>3830809</v>
      </c>
      <c r="D85" s="17">
        <v>61810</v>
      </c>
      <c r="E85" s="11">
        <v>1707</v>
      </c>
      <c r="F85" s="11">
        <v>3414400</v>
      </c>
      <c r="G85" s="11">
        <v>61419</v>
      </c>
      <c r="I85" s="112"/>
      <c r="J85" s="112"/>
    </row>
    <row r="86" spans="2:10" x14ac:dyDescent="0.25">
      <c r="B86" s="18" t="s">
        <v>143</v>
      </c>
      <c r="C86">
        <v>74387</v>
      </c>
      <c r="D86" s="11">
        <v>867628</v>
      </c>
      <c r="E86" s="188">
        <v>267</v>
      </c>
      <c r="F86" s="11">
        <v>23381</v>
      </c>
      <c r="G86" s="17">
        <v>1341384</v>
      </c>
      <c r="I86" s="112">
        <f>C86-F86</f>
        <v>51006</v>
      </c>
      <c r="J86" s="112">
        <f>D86-G86</f>
        <v>-473756</v>
      </c>
    </row>
    <row r="87" spans="2:10" x14ac:dyDescent="0.25">
      <c r="B87" s="18" t="s">
        <v>144</v>
      </c>
      <c r="C87" s="11">
        <v>206859</v>
      </c>
      <c r="D87" s="11">
        <v>2423783</v>
      </c>
      <c r="E87" s="188">
        <v>17302</v>
      </c>
      <c r="F87" s="11">
        <v>206859</v>
      </c>
      <c r="G87" s="11">
        <v>2423783</v>
      </c>
      <c r="I87" s="112">
        <f t="shared" si="1"/>
        <v>0</v>
      </c>
      <c r="J87" s="112"/>
    </row>
    <row r="88" spans="2:10" x14ac:dyDescent="0.25">
      <c r="B88" s="189" t="s">
        <v>186</v>
      </c>
      <c r="C88" s="191">
        <f>SUM(C80:C87)</f>
        <v>4118345</v>
      </c>
      <c r="D88" s="191">
        <f t="shared" ref="D88:G88" si="5">SUM(D80:D87)</f>
        <v>6132552</v>
      </c>
      <c r="E88" s="191">
        <f t="shared" si="5"/>
        <v>43515</v>
      </c>
      <c r="F88" s="191">
        <f t="shared" si="5"/>
        <v>3662684</v>
      </c>
      <c r="G88" s="191">
        <f t="shared" si="5"/>
        <v>6605686</v>
      </c>
      <c r="I88" s="112">
        <f t="shared" si="1"/>
        <v>455661</v>
      </c>
    </row>
    <row r="89" spans="2:10" x14ac:dyDescent="0.25">
      <c r="B89" s="185" t="s">
        <v>187</v>
      </c>
      <c r="C89" s="186">
        <f>SUM(C88,C79,C68)</f>
        <v>4343459</v>
      </c>
      <c r="D89" s="186">
        <f t="shared" ref="D89:G89" si="6">SUM(D88,D79,D68)</f>
        <v>6506123</v>
      </c>
      <c r="E89" s="186">
        <f t="shared" si="6"/>
        <v>48888</v>
      </c>
      <c r="F89" s="186">
        <f t="shared" si="6"/>
        <v>3753336</v>
      </c>
      <c r="G89" s="186">
        <f t="shared" si="6"/>
        <v>6744068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Runtimes_SPARQL1.0</vt:lpstr>
      <vt:lpstr>F1 Scores</vt:lpstr>
      <vt:lpstr>source selection</vt:lpstr>
      <vt:lpstr>Structural_Features</vt:lpstr>
      <vt:lpstr>Data Driven_Features</vt:lpstr>
      <vt:lpstr>index const. and size</vt:lpstr>
      <vt:lpstr>Runtimes_SPARQL1.1</vt:lpstr>
      <vt:lpstr>dataset structuredness</vt:lpstr>
      <vt:lpstr>Query Stats</vt:lpstr>
      <vt:lpstr>Spearman's corelation</vt:lpstr>
      <vt:lpstr>Number of Endpoints Requests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2017-07-23T02:50:00Z</dcterms:modified>
</cp:coreProperties>
</file>